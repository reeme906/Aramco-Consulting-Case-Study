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9.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FB0BEC08-0835-43CA-96CD-7F3B0F027125}" xr6:coauthVersionLast="47" xr6:coauthVersionMax="47" xr10:uidLastSave="{00000000-0000-0000-0000-000000000000}"/>
  <bookViews>
    <workbookView xWindow="2340" yWindow="405" windowWidth="23835" windowHeight="14925" xr2:uid="{309BB376-9A26-4B0E-8984-E3FC0F271B7F}"/>
  </bookViews>
  <sheets>
    <sheet name="data set" sheetId="13" r:id="rId1"/>
    <sheet name="Q1" sheetId="2" r:id="rId2"/>
    <sheet name="Q2" sheetId="3" r:id="rId3"/>
    <sheet name="Table sheet for question 3" sheetId="8" state="hidden" r:id="rId4"/>
    <sheet name="3A" sheetId="5" state="hidden" r:id="rId5"/>
    <sheet name="Q3" sheetId="10" r:id="rId6"/>
    <sheet name="Q4" sheetId="15" r:id="rId7"/>
    <sheet name="DB" sheetId="7" r:id="rId8"/>
  </sheets>
  <externalReferences>
    <externalReference r:id="rId9"/>
  </externalReferences>
  <definedNames>
    <definedName name="_xlnm._FilterDatabase" localSheetId="5" hidden="1">'Q3'!$A$18:$B$18</definedName>
    <definedName name="Slicer_Category___HC___NHC">#N/A</definedName>
    <definedName name="Slicer_Category___traind___Requires_Training">#N/A</definedName>
    <definedName name="Slicer_HC_Background">#N/A</definedName>
    <definedName name="Slicer_Priority">#N/A</definedName>
    <definedName name="Slicer_Satisfaction__level">#N/A</definedName>
    <definedName name="Slicer_Segment">#N/A</definedName>
    <definedName name="Slicer_Segments">#N/A</definedName>
  </definedNames>
  <calcPr calcId="191028"/>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5" l="1"/>
  <c r="I7" i="15"/>
  <c r="I8" i="15"/>
  <c r="I9" i="15"/>
  <c r="I5" i="15"/>
  <c r="D6" i="15"/>
  <c r="D7" i="15"/>
  <c r="D8" i="15"/>
  <c r="D9" i="15"/>
  <c r="D5" i="15"/>
  <c r="I20" i="10"/>
  <c r="I21" i="10"/>
  <c r="I22" i="10"/>
  <c r="I23" i="10"/>
  <c r="I24" i="10"/>
  <c r="I25" i="10"/>
  <c r="I26" i="10"/>
  <c r="I27" i="10"/>
  <c r="I28" i="10"/>
  <c r="I19" i="10"/>
  <c r="E20" i="10"/>
  <c r="E21" i="10"/>
  <c r="E22" i="10"/>
  <c r="E23" i="10"/>
  <c r="E24" i="10"/>
  <c r="E25" i="10"/>
  <c r="E26" i="10"/>
  <c r="E27" i="10"/>
  <c r="E28" i="10"/>
  <c r="E19" i="10"/>
  <c r="D25" i="10"/>
  <c r="D26" i="10"/>
  <c r="D27" i="10"/>
  <c r="D28" i="10"/>
  <c r="D24" i="10"/>
  <c r="D23" i="10"/>
  <c r="D22" i="10"/>
  <c r="D21" i="10"/>
  <c r="D20" i="10"/>
  <c r="D19" i="10"/>
  <c r="D30" i="3"/>
  <c r="D29" i="3"/>
  <c r="D28" i="3"/>
  <c r="D27" i="3"/>
  <c r="D26" i="3"/>
  <c r="C30" i="3"/>
  <c r="C28" i="3"/>
  <c r="C27" i="3"/>
  <c r="C26" i="3"/>
  <c r="C29" i="3"/>
  <c r="K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7"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J2" i="13"/>
  <c r="F28" i="10"/>
  <c r="G28" i="10" s="1"/>
  <c r="F26" i="10"/>
  <c r="G26" i="10" s="1"/>
  <c r="F27" i="10"/>
  <c r="G27" i="10" s="1"/>
  <c r="F21" i="10"/>
  <c r="F20" i="10"/>
  <c r="F19" i="10"/>
  <c r="G19" i="10" s="1"/>
  <c r="H19" i="10" s="1"/>
  <c r="G4" i="5"/>
  <c r="G5" i="5"/>
  <c r="G6" i="5"/>
  <c r="G7" i="5"/>
  <c r="G8" i="5"/>
  <c r="G9" i="5"/>
  <c r="G10" i="5"/>
  <c r="G11" i="5"/>
  <c r="G12" i="5"/>
  <c r="G3" i="5"/>
  <c r="F3" i="5"/>
  <c r="F4" i="5"/>
  <c r="F5" i="5"/>
  <c r="F6" i="5"/>
  <c r="F7" i="5"/>
  <c r="F8" i="5"/>
  <c r="F9" i="5"/>
  <c r="F10" i="5"/>
  <c r="F11" i="5"/>
  <c r="F12" i="5"/>
  <c r="F22" i="10"/>
  <c r="F25" i="10"/>
  <c r="F23" i="10"/>
  <c r="F24" i="10"/>
  <c r="E27" i="3"/>
  <c r="E29" i="3"/>
  <c r="E30" i="3"/>
  <c r="F30" i="3"/>
  <c r="F28" i="3"/>
  <c r="E26" i="3"/>
  <c r="G22" i="10" l="1"/>
  <c r="G23" i="10"/>
  <c r="H23" i="10" s="1"/>
  <c r="G25" i="10"/>
  <c r="G24" i="10"/>
  <c r="H26" i="10"/>
  <c r="G21" i="10"/>
  <c r="H21" i="10" s="1"/>
  <c r="H27" i="10"/>
  <c r="G20" i="10"/>
  <c r="H20" i="10" s="1"/>
  <c r="H28" i="10"/>
  <c r="H25" i="10"/>
  <c r="H24" i="10"/>
  <c r="E28" i="3"/>
  <c r="F26" i="3"/>
  <c r="F29" i="3"/>
  <c r="F27" i="3"/>
  <c r="H22" i="10" l="1"/>
</calcChain>
</file>

<file path=xl/sharedStrings.xml><?xml version="1.0" encoding="utf-8"?>
<sst xmlns="http://schemas.openxmlformats.org/spreadsheetml/2006/main" count="3506" uniqueCount="638">
  <si>
    <t>Retirees</t>
  </si>
  <si>
    <t>Student</t>
  </si>
  <si>
    <t xml:space="preserve">Role To Sector </t>
  </si>
  <si>
    <t>Sector</t>
  </si>
  <si>
    <t>Average Monthly Hours</t>
  </si>
  <si>
    <t xml:space="preserve"> Roles</t>
  </si>
  <si>
    <t>Forecasted Monthly Hours Needed</t>
  </si>
  <si>
    <t xml:space="preserve">Sector </t>
  </si>
  <si>
    <t>Law, Governance &amp; Public Policy</t>
  </si>
  <si>
    <t>Medical Volunteer (Doctor/Nurse)</t>
  </si>
  <si>
    <t>Arts, Media &amp; Communications</t>
  </si>
  <si>
    <t>Healthcare &amp; Life Sciences</t>
  </si>
  <si>
    <t>Health Educator (Specialist)</t>
  </si>
  <si>
    <t>Business, Finance &amp; Management</t>
  </si>
  <si>
    <t>Natural Sciences &amp; Environment</t>
  </si>
  <si>
    <t>First Aid &amp; Emergency Responder</t>
  </si>
  <si>
    <t>Education &amp; Training</t>
  </si>
  <si>
    <t>Health Outreach Volunteer</t>
  </si>
  <si>
    <t>Engineering &amp; Manufacturing</t>
  </si>
  <si>
    <t>Patient Support Volunteer</t>
  </si>
  <si>
    <t>Information Technology &amp; Computer Science</t>
  </si>
  <si>
    <t>Mobile Clinic Assistant</t>
  </si>
  <si>
    <t>Hospitality, Tourism &amp; Services</t>
  </si>
  <si>
    <t>Trades &amp; Technical Services</t>
  </si>
  <si>
    <t>Health Screening Assistant</t>
  </si>
  <si>
    <t>Event Organizer/Logistics</t>
  </si>
  <si>
    <t>Administrative &amp; Data Entry</t>
  </si>
  <si>
    <t>Communications &amp; Awareness</t>
  </si>
  <si>
    <t>Forecasted Monthly Hours</t>
  </si>
  <si>
    <t>Requires Healthcare Background</t>
  </si>
  <si>
    <t>Requires Training</t>
  </si>
  <si>
    <t>Category ( HC , NHC)</t>
  </si>
  <si>
    <t xml:space="preserve">Category ( traind , Requires Training) </t>
  </si>
  <si>
    <t>Yes</t>
  </si>
  <si>
    <t>No</t>
  </si>
  <si>
    <t>Category</t>
  </si>
  <si>
    <t>Sum of Forecasted Monthly Hours</t>
  </si>
  <si>
    <t>Healthcare</t>
  </si>
  <si>
    <t>Traind</t>
  </si>
  <si>
    <t>Non-Healthcare</t>
  </si>
  <si>
    <t>RequiresTraining</t>
  </si>
  <si>
    <t>Grand Total</t>
  </si>
  <si>
    <t>Employed</t>
  </si>
  <si>
    <t>Not working/Homemaker</t>
  </si>
  <si>
    <t>Retired</t>
  </si>
  <si>
    <t>Career Status</t>
  </si>
  <si>
    <t>Has Training</t>
  </si>
  <si>
    <t>Column1</t>
  </si>
  <si>
    <t>Row Labels</t>
  </si>
  <si>
    <t>Average of Average Monthly Hours</t>
  </si>
  <si>
    <t>Count of Volunteer ID</t>
  </si>
  <si>
    <t>Homemakers</t>
  </si>
  <si>
    <t>Mid-to-Late Career</t>
  </si>
  <si>
    <t>Students</t>
  </si>
  <si>
    <t>Young Professionals</t>
  </si>
  <si>
    <t>Segment</t>
  </si>
  <si>
    <t>Sum of Average Monthly Hours</t>
  </si>
  <si>
    <t>Current Hours by Sectors</t>
  </si>
  <si>
    <t xml:space="preserve">Sectors </t>
  </si>
  <si>
    <t xml:space="preserve">Current Hours </t>
  </si>
  <si>
    <t>Gap</t>
  </si>
  <si>
    <t xml:space="preserve">Forecasted Hours </t>
  </si>
  <si>
    <t>Education &amp; Training and Healthcare &amp; Life Sciences</t>
  </si>
  <si>
    <t>Healthcare &amp; Life Sciences and Natural Sciences &amp; Environment</t>
  </si>
  <si>
    <t>Arts, Media &amp; Communications, Law, Governance &amp; Public Policy, and Hospitality, Tourism &amp; Services</t>
  </si>
  <si>
    <t>Hospitality, Tourism &amp; Services and Law, Governance &amp; Public Policy</t>
  </si>
  <si>
    <t>Information Technology and Business, Finance &amp; Management</t>
  </si>
  <si>
    <t>Arts, Media &amp; Communications and Law, Governance &amp; Public Policy</t>
  </si>
  <si>
    <t>Engineering &amp; Manufacturing and Trades &amp; Technical Services and Hospitality, Tourism &amp; Services</t>
  </si>
  <si>
    <t>Business, Finance &amp; Management and Hospitality, Tourism &amp; Services and Arts, Media &amp; Communications</t>
  </si>
  <si>
    <t>Trades &amp; Technical Services and Natural Sciences &amp; Environment and Hospitality, Tourism &amp; Services</t>
  </si>
  <si>
    <t>Not Trained Sectors</t>
  </si>
  <si>
    <t>Trained Sectors</t>
  </si>
  <si>
    <t>Total</t>
  </si>
  <si>
    <t>Categorys</t>
  </si>
  <si>
    <t xml:space="preserve">Sum of Forecasted Hours </t>
  </si>
  <si>
    <t>Sum of Gap</t>
  </si>
  <si>
    <t>Volunteer ID</t>
  </si>
  <si>
    <t>Age</t>
  </si>
  <si>
    <t>Years of Work Experience</t>
  </si>
  <si>
    <t>Marketing Outreach</t>
  </si>
  <si>
    <t>Satisfaction Score (%)</t>
  </si>
  <si>
    <t>V001</t>
  </si>
  <si>
    <t>Online marketing</t>
  </si>
  <si>
    <t>V498</t>
  </si>
  <si>
    <t>V003</t>
  </si>
  <si>
    <t>V488</t>
  </si>
  <si>
    <t>V485</t>
  </si>
  <si>
    <t>V006</t>
  </si>
  <si>
    <t>V007</t>
  </si>
  <si>
    <t>V483</t>
  </si>
  <si>
    <t>V477</t>
  </si>
  <si>
    <t>V474</t>
  </si>
  <si>
    <t>V464</t>
  </si>
  <si>
    <t>V453</t>
  </si>
  <si>
    <t>V445</t>
  </si>
  <si>
    <t>V442</t>
  </si>
  <si>
    <t>V015</t>
  </si>
  <si>
    <t>V016</t>
  </si>
  <si>
    <t>V436</t>
  </si>
  <si>
    <t>V433</t>
  </si>
  <si>
    <t>V431</t>
  </si>
  <si>
    <t>V420</t>
  </si>
  <si>
    <t>V408</t>
  </si>
  <si>
    <t>V398</t>
  </si>
  <si>
    <t>V391</t>
  </si>
  <si>
    <t>V024</t>
  </si>
  <si>
    <t>V384</t>
  </si>
  <si>
    <t>V368</t>
  </si>
  <si>
    <t>V344</t>
  </si>
  <si>
    <t>V338</t>
  </si>
  <si>
    <t>V337</t>
  </si>
  <si>
    <t>V030</t>
  </si>
  <si>
    <t>V330</t>
  </si>
  <si>
    <t>V032</t>
  </si>
  <si>
    <t>V320</t>
  </si>
  <si>
    <t>V319</t>
  </si>
  <si>
    <t>V314</t>
  </si>
  <si>
    <t>V036</t>
  </si>
  <si>
    <t>V311</t>
  </si>
  <si>
    <t>V294</t>
  </si>
  <si>
    <t>V293</t>
  </si>
  <si>
    <t>V291</t>
  </si>
  <si>
    <t>V041</t>
  </si>
  <si>
    <t>V289</t>
  </si>
  <si>
    <t>V278</t>
  </si>
  <si>
    <t>V277</t>
  </si>
  <si>
    <t>V276</t>
  </si>
  <si>
    <t>V263</t>
  </si>
  <si>
    <t>V258</t>
  </si>
  <si>
    <t>V245</t>
  </si>
  <si>
    <t>V241</t>
  </si>
  <si>
    <t>V237</t>
  </si>
  <si>
    <t>V236</t>
  </si>
  <si>
    <t>V235</t>
  </si>
  <si>
    <t>V226</t>
  </si>
  <si>
    <t>V221</t>
  </si>
  <si>
    <t>V219</t>
  </si>
  <si>
    <t>V217</t>
  </si>
  <si>
    <t>V216</t>
  </si>
  <si>
    <t>V210</t>
  </si>
  <si>
    <t>V200</t>
  </si>
  <si>
    <t>V192</t>
  </si>
  <si>
    <t>V187</t>
  </si>
  <si>
    <t>V181</t>
  </si>
  <si>
    <t>V180</t>
  </si>
  <si>
    <t>V177</t>
  </si>
  <si>
    <t>V156</t>
  </si>
  <si>
    <t>V130</t>
  </si>
  <si>
    <t>V113</t>
  </si>
  <si>
    <t>V109</t>
  </si>
  <si>
    <t>V105</t>
  </si>
  <si>
    <t>V070</t>
  </si>
  <si>
    <t>V071</t>
  </si>
  <si>
    <t>V072</t>
  </si>
  <si>
    <t>V096</t>
  </si>
  <si>
    <t>V093</t>
  </si>
  <si>
    <t>V091</t>
  </si>
  <si>
    <t>V002</t>
  </si>
  <si>
    <t>University partnership</t>
  </si>
  <si>
    <t>V004</t>
  </si>
  <si>
    <t>V005</t>
  </si>
  <si>
    <t>V008</t>
  </si>
  <si>
    <t>V009</t>
  </si>
  <si>
    <t>V010</t>
  </si>
  <si>
    <t>In-person outreach</t>
  </si>
  <si>
    <t>V011</t>
  </si>
  <si>
    <t>V012</t>
  </si>
  <si>
    <t>V013</t>
  </si>
  <si>
    <t>V014</t>
  </si>
  <si>
    <t>V017</t>
  </si>
  <si>
    <t>V018</t>
  </si>
  <si>
    <t>V019</t>
  </si>
  <si>
    <t>V020</t>
  </si>
  <si>
    <t>V021</t>
  </si>
  <si>
    <t>V022</t>
  </si>
  <si>
    <t>V023</t>
  </si>
  <si>
    <t>V025</t>
  </si>
  <si>
    <t>V026</t>
  </si>
  <si>
    <t>V027</t>
  </si>
  <si>
    <t>V028</t>
  </si>
  <si>
    <t>V029</t>
  </si>
  <si>
    <t>V031</t>
  </si>
  <si>
    <t>V033</t>
  </si>
  <si>
    <t>V034</t>
  </si>
  <si>
    <t>V035</t>
  </si>
  <si>
    <t>V037</t>
  </si>
  <si>
    <t>V038</t>
  </si>
  <si>
    <t>V039</t>
  </si>
  <si>
    <t>V040</t>
  </si>
  <si>
    <t>V042</t>
  </si>
  <si>
    <t>V043</t>
  </si>
  <si>
    <t>V044</t>
  </si>
  <si>
    <t>V045</t>
  </si>
  <si>
    <t>V046</t>
  </si>
  <si>
    <t>V047</t>
  </si>
  <si>
    <t>V048</t>
  </si>
  <si>
    <t>V049</t>
  </si>
  <si>
    <t>V050</t>
  </si>
  <si>
    <t>V051</t>
  </si>
  <si>
    <t>V052</t>
  </si>
  <si>
    <t>V053</t>
  </si>
  <si>
    <t>V054</t>
  </si>
  <si>
    <t>V055</t>
  </si>
  <si>
    <t>V056</t>
  </si>
  <si>
    <t>V057</t>
  </si>
  <si>
    <t>V058</t>
  </si>
  <si>
    <t>V059</t>
  </si>
  <si>
    <t>V060</t>
  </si>
  <si>
    <t>V061</t>
  </si>
  <si>
    <t>V062</t>
  </si>
  <si>
    <t>V063</t>
  </si>
  <si>
    <t>V064</t>
  </si>
  <si>
    <t>V065</t>
  </si>
  <si>
    <t>V066</t>
  </si>
  <si>
    <t>V067</t>
  </si>
  <si>
    <t>V068</t>
  </si>
  <si>
    <t>V069</t>
  </si>
  <si>
    <t>V073</t>
  </si>
  <si>
    <t>V074</t>
  </si>
  <si>
    <t>V075</t>
  </si>
  <si>
    <t>V076</t>
  </si>
  <si>
    <t>V077</t>
  </si>
  <si>
    <t>V078</t>
  </si>
  <si>
    <t>V079</t>
  </si>
  <si>
    <t>V080</t>
  </si>
  <si>
    <t>V081</t>
  </si>
  <si>
    <t>V082</t>
  </si>
  <si>
    <t>V083</t>
  </si>
  <si>
    <t>V084</t>
  </si>
  <si>
    <t>V085</t>
  </si>
  <si>
    <t>V086</t>
  </si>
  <si>
    <t>V087</t>
  </si>
  <si>
    <t>V088</t>
  </si>
  <si>
    <t>V089</t>
  </si>
  <si>
    <t>V090</t>
  </si>
  <si>
    <t>V092</t>
  </si>
  <si>
    <t>V094</t>
  </si>
  <si>
    <t>V095</t>
  </si>
  <si>
    <t>V097</t>
  </si>
  <si>
    <t>V098</t>
  </si>
  <si>
    <t>V099</t>
  </si>
  <si>
    <t>V100</t>
  </si>
  <si>
    <t>V101</t>
  </si>
  <si>
    <t>V102</t>
  </si>
  <si>
    <t>V103</t>
  </si>
  <si>
    <t>V104</t>
  </si>
  <si>
    <t>V106</t>
  </si>
  <si>
    <t>V107</t>
  </si>
  <si>
    <t>V108</t>
  </si>
  <si>
    <t>V110</t>
  </si>
  <si>
    <t>V111</t>
  </si>
  <si>
    <t>V112</t>
  </si>
  <si>
    <t>V114</t>
  </si>
  <si>
    <t>V115</t>
  </si>
  <si>
    <t>V116</t>
  </si>
  <si>
    <t>V117</t>
  </si>
  <si>
    <t>V118</t>
  </si>
  <si>
    <t>V119</t>
  </si>
  <si>
    <t>V120</t>
  </si>
  <si>
    <t>V121</t>
  </si>
  <si>
    <t>V122</t>
  </si>
  <si>
    <t>V123</t>
  </si>
  <si>
    <t>V124</t>
  </si>
  <si>
    <t>V125</t>
  </si>
  <si>
    <t>V126</t>
  </si>
  <si>
    <t>V127</t>
  </si>
  <si>
    <t>V128</t>
  </si>
  <si>
    <t>V129</t>
  </si>
  <si>
    <t>V131</t>
  </si>
  <si>
    <t>V132</t>
  </si>
  <si>
    <t>V133</t>
  </si>
  <si>
    <t>V134</t>
  </si>
  <si>
    <t>V135</t>
  </si>
  <si>
    <t>V136</t>
  </si>
  <si>
    <t>V137</t>
  </si>
  <si>
    <t>V138</t>
  </si>
  <si>
    <t>V139</t>
  </si>
  <si>
    <t>V140</t>
  </si>
  <si>
    <t>V141</t>
  </si>
  <si>
    <t>V142</t>
  </si>
  <si>
    <t>V143</t>
  </si>
  <si>
    <t>V144</t>
  </si>
  <si>
    <t>V145</t>
  </si>
  <si>
    <t>V146</t>
  </si>
  <si>
    <t>V147</t>
  </si>
  <si>
    <t>V148</t>
  </si>
  <si>
    <t>V149</t>
  </si>
  <si>
    <t>V150</t>
  </si>
  <si>
    <t>V151</t>
  </si>
  <si>
    <t>V152</t>
  </si>
  <si>
    <t>V153</t>
  </si>
  <si>
    <t>V154</t>
  </si>
  <si>
    <t>V155</t>
  </si>
  <si>
    <t>V157</t>
  </si>
  <si>
    <t>V158</t>
  </si>
  <si>
    <t>V159</t>
  </si>
  <si>
    <t>V160</t>
  </si>
  <si>
    <t>V161</t>
  </si>
  <si>
    <t>V162</t>
  </si>
  <si>
    <t>V163</t>
  </si>
  <si>
    <t>V164</t>
  </si>
  <si>
    <t>V165</t>
  </si>
  <si>
    <t>V166</t>
  </si>
  <si>
    <t>V167</t>
  </si>
  <si>
    <t>V168</t>
  </si>
  <si>
    <t>V169</t>
  </si>
  <si>
    <t>V170</t>
  </si>
  <si>
    <t>V171</t>
  </si>
  <si>
    <t>V172</t>
  </si>
  <si>
    <t>V173</t>
  </si>
  <si>
    <t>V174</t>
  </si>
  <si>
    <t>V175</t>
  </si>
  <si>
    <t>V176</t>
  </si>
  <si>
    <t>V178</t>
  </si>
  <si>
    <t>V179</t>
  </si>
  <si>
    <t>V182</t>
  </si>
  <si>
    <t>V183</t>
  </si>
  <si>
    <t>V184</t>
  </si>
  <si>
    <t>V185</t>
  </si>
  <si>
    <t>V186</t>
  </si>
  <si>
    <t>V188</t>
  </si>
  <si>
    <t>V189</t>
  </si>
  <si>
    <t>V190</t>
  </si>
  <si>
    <t>V191</t>
  </si>
  <si>
    <t>V193</t>
  </si>
  <si>
    <t>V194</t>
  </si>
  <si>
    <t>V195</t>
  </si>
  <si>
    <t>V196</t>
  </si>
  <si>
    <t>V197</t>
  </si>
  <si>
    <t>V198</t>
  </si>
  <si>
    <t>V199</t>
  </si>
  <si>
    <t>V201</t>
  </si>
  <si>
    <t>V202</t>
  </si>
  <si>
    <t>V203</t>
  </si>
  <si>
    <t>V204</t>
  </si>
  <si>
    <t>V205</t>
  </si>
  <si>
    <t>V206</t>
  </si>
  <si>
    <t>V207</t>
  </si>
  <si>
    <t>V208</t>
  </si>
  <si>
    <t>V209</t>
  </si>
  <si>
    <t>V211</t>
  </si>
  <si>
    <t>V212</t>
  </si>
  <si>
    <t>V213</t>
  </si>
  <si>
    <t>V214</t>
  </si>
  <si>
    <t>V215</t>
  </si>
  <si>
    <t>V218</t>
  </si>
  <si>
    <t>V220</t>
  </si>
  <si>
    <t>V222</t>
  </si>
  <si>
    <t>V223</t>
  </si>
  <si>
    <t>V224</t>
  </si>
  <si>
    <t>V225</t>
  </si>
  <si>
    <t>V227</t>
  </si>
  <si>
    <t>V228</t>
  </si>
  <si>
    <t>V229</t>
  </si>
  <si>
    <t>V230</t>
  </si>
  <si>
    <t>V231</t>
  </si>
  <si>
    <t>V232</t>
  </si>
  <si>
    <t>V233</t>
  </si>
  <si>
    <t>V234</t>
  </si>
  <si>
    <t>V238</t>
  </si>
  <si>
    <t>V239</t>
  </si>
  <si>
    <t>V240</t>
  </si>
  <si>
    <t>V242</t>
  </si>
  <si>
    <t>V243</t>
  </si>
  <si>
    <t>V244</t>
  </si>
  <si>
    <t>V246</t>
  </si>
  <si>
    <t>V247</t>
  </si>
  <si>
    <t>V248</t>
  </si>
  <si>
    <t>V249</t>
  </si>
  <si>
    <t>V250</t>
  </si>
  <si>
    <t>V251</t>
  </si>
  <si>
    <t>V252</t>
  </si>
  <si>
    <t>V253</t>
  </si>
  <si>
    <t>V254</t>
  </si>
  <si>
    <t>V255</t>
  </si>
  <si>
    <t>V256</t>
  </si>
  <si>
    <t>V257</t>
  </si>
  <si>
    <t>V259</t>
  </si>
  <si>
    <t>V260</t>
  </si>
  <si>
    <t>V261</t>
  </si>
  <si>
    <t>V262</t>
  </si>
  <si>
    <t>V264</t>
  </si>
  <si>
    <t>V265</t>
  </si>
  <si>
    <t>V266</t>
  </si>
  <si>
    <t>V267</t>
  </si>
  <si>
    <t>V268</t>
  </si>
  <si>
    <t>V269</t>
  </si>
  <si>
    <t>V270</t>
  </si>
  <si>
    <t>V271</t>
  </si>
  <si>
    <t>V272</t>
  </si>
  <si>
    <t>V273</t>
  </si>
  <si>
    <t>V274</t>
  </si>
  <si>
    <t>V275</t>
  </si>
  <si>
    <t>V279</t>
  </si>
  <si>
    <t>V280</t>
  </si>
  <si>
    <t>V281</t>
  </si>
  <si>
    <t>V282</t>
  </si>
  <si>
    <t>V283</t>
  </si>
  <si>
    <t>V284</t>
  </si>
  <si>
    <t>V285</t>
  </si>
  <si>
    <t>V286</t>
  </si>
  <si>
    <t>V287</t>
  </si>
  <si>
    <t>V288</t>
  </si>
  <si>
    <t>V290</t>
  </si>
  <si>
    <t>V292</t>
  </si>
  <si>
    <t>V295</t>
  </si>
  <si>
    <t>V296</t>
  </si>
  <si>
    <t>V297</t>
  </si>
  <si>
    <t>V298</t>
  </si>
  <si>
    <t>V299</t>
  </si>
  <si>
    <t>V300</t>
  </si>
  <si>
    <t>V301</t>
  </si>
  <si>
    <t>V302</t>
  </si>
  <si>
    <t>V303</t>
  </si>
  <si>
    <t>V304</t>
  </si>
  <si>
    <t>V305</t>
  </si>
  <si>
    <t>V306</t>
  </si>
  <si>
    <t>V307</t>
  </si>
  <si>
    <t>V308</t>
  </si>
  <si>
    <t>V309</t>
  </si>
  <si>
    <t>V310</t>
  </si>
  <si>
    <t>V312</t>
  </si>
  <si>
    <t>V313</t>
  </si>
  <si>
    <t>V315</t>
  </si>
  <si>
    <t>V316</t>
  </si>
  <si>
    <t>V317</t>
  </si>
  <si>
    <t>V318</t>
  </si>
  <si>
    <t>V321</t>
  </si>
  <si>
    <t>V322</t>
  </si>
  <si>
    <t>V323</t>
  </si>
  <si>
    <t>V324</t>
  </si>
  <si>
    <t>V325</t>
  </si>
  <si>
    <t>V326</t>
  </si>
  <si>
    <t>V327</t>
  </si>
  <si>
    <t>V328</t>
  </si>
  <si>
    <t>V329</t>
  </si>
  <si>
    <t>V331</t>
  </si>
  <si>
    <t>V332</t>
  </si>
  <si>
    <t>V333</t>
  </si>
  <si>
    <t>V334</t>
  </si>
  <si>
    <t>V335</t>
  </si>
  <si>
    <t>V336</t>
  </si>
  <si>
    <t>V339</t>
  </si>
  <si>
    <t>V340</t>
  </si>
  <si>
    <t>V341</t>
  </si>
  <si>
    <t>V342</t>
  </si>
  <si>
    <t>V343</t>
  </si>
  <si>
    <t>V345</t>
  </si>
  <si>
    <t>V346</t>
  </si>
  <si>
    <t>V347</t>
  </si>
  <si>
    <t>V348</t>
  </si>
  <si>
    <t>V349</t>
  </si>
  <si>
    <t>V350</t>
  </si>
  <si>
    <t>V351</t>
  </si>
  <si>
    <t>V352</t>
  </si>
  <si>
    <t>V353</t>
  </si>
  <si>
    <t>V354</t>
  </si>
  <si>
    <t>V355</t>
  </si>
  <si>
    <t>V356</t>
  </si>
  <si>
    <t>V357</t>
  </si>
  <si>
    <t>V358</t>
  </si>
  <si>
    <t>V359</t>
  </si>
  <si>
    <t>V360</t>
  </si>
  <si>
    <t>V361</t>
  </si>
  <si>
    <t>V362</t>
  </si>
  <si>
    <t>V363</t>
  </si>
  <si>
    <t>V364</t>
  </si>
  <si>
    <t>V365</t>
  </si>
  <si>
    <t>V366</t>
  </si>
  <si>
    <t>V367</t>
  </si>
  <si>
    <t>V369</t>
  </si>
  <si>
    <t>V370</t>
  </si>
  <si>
    <t>V371</t>
  </si>
  <si>
    <t>V372</t>
  </si>
  <si>
    <t>V373</t>
  </si>
  <si>
    <t>V374</t>
  </si>
  <si>
    <t>V375</t>
  </si>
  <si>
    <t>V376</t>
  </si>
  <si>
    <t>V377</t>
  </si>
  <si>
    <t>V378</t>
  </si>
  <si>
    <t>V379</t>
  </si>
  <si>
    <t>V380</t>
  </si>
  <si>
    <t>V381</t>
  </si>
  <si>
    <t>V382</t>
  </si>
  <si>
    <t>V383</t>
  </si>
  <si>
    <t>V385</t>
  </si>
  <si>
    <t>V386</t>
  </si>
  <si>
    <t>V387</t>
  </si>
  <si>
    <t>V388</t>
  </si>
  <si>
    <t>V389</t>
  </si>
  <si>
    <t>V390</t>
  </si>
  <si>
    <t>V392</t>
  </si>
  <si>
    <t>V393</t>
  </si>
  <si>
    <t>V394</t>
  </si>
  <si>
    <t>V395</t>
  </si>
  <si>
    <t>V396</t>
  </si>
  <si>
    <t>V397</t>
  </si>
  <si>
    <t>V399</t>
  </si>
  <si>
    <t>V400</t>
  </si>
  <si>
    <t>V401</t>
  </si>
  <si>
    <t>V402</t>
  </si>
  <si>
    <t>V403</t>
  </si>
  <si>
    <t>V404</t>
  </si>
  <si>
    <t>V405</t>
  </si>
  <si>
    <t>V406</t>
  </si>
  <si>
    <t>V407</t>
  </si>
  <si>
    <t>V409</t>
  </si>
  <si>
    <t>V410</t>
  </si>
  <si>
    <t>V411</t>
  </si>
  <si>
    <t>V412</t>
  </si>
  <si>
    <t>V413</t>
  </si>
  <si>
    <t>V414</t>
  </si>
  <si>
    <t>V415</t>
  </si>
  <si>
    <t>V416</t>
  </si>
  <si>
    <t>V417</t>
  </si>
  <si>
    <t>V418</t>
  </si>
  <si>
    <t>V419</t>
  </si>
  <si>
    <t>V421</t>
  </si>
  <si>
    <t>V422</t>
  </si>
  <si>
    <t>V423</t>
  </si>
  <si>
    <t>V424</t>
  </si>
  <si>
    <t>V425</t>
  </si>
  <si>
    <t>V426</t>
  </si>
  <si>
    <t>V427</t>
  </si>
  <si>
    <t>V428</t>
  </si>
  <si>
    <t>V429</t>
  </si>
  <si>
    <t>V430</t>
  </si>
  <si>
    <t>V432</t>
  </si>
  <si>
    <t>V434</t>
  </si>
  <si>
    <t>V435</t>
  </si>
  <si>
    <t>V437</t>
  </si>
  <si>
    <t>V438</t>
  </si>
  <si>
    <t>V439</t>
  </si>
  <si>
    <t>V440</t>
  </si>
  <si>
    <t>V441</t>
  </si>
  <si>
    <t>V443</t>
  </si>
  <si>
    <t>V444</t>
  </si>
  <si>
    <t>V446</t>
  </si>
  <si>
    <t>V447</t>
  </si>
  <si>
    <t>V448</t>
  </si>
  <si>
    <t>V449</t>
  </si>
  <si>
    <t>V450</t>
  </si>
  <si>
    <t>V451</t>
  </si>
  <si>
    <t>V452</t>
  </si>
  <si>
    <t>V454</t>
  </si>
  <si>
    <t>V455</t>
  </si>
  <si>
    <t>V456</t>
  </si>
  <si>
    <t>V457</t>
  </si>
  <si>
    <t>V458</t>
  </si>
  <si>
    <t>V459</t>
  </si>
  <si>
    <t>V460</t>
  </si>
  <si>
    <t>V461</t>
  </si>
  <si>
    <t>V462</t>
  </si>
  <si>
    <t>V463</t>
  </si>
  <si>
    <t>V465</t>
  </si>
  <si>
    <t>V466</t>
  </si>
  <si>
    <t>V467</t>
  </si>
  <si>
    <t>V468</t>
  </si>
  <si>
    <t>V469</t>
  </si>
  <si>
    <t>V470</t>
  </si>
  <si>
    <t>V471</t>
  </si>
  <si>
    <t>V472</t>
  </si>
  <si>
    <t>V473</t>
  </si>
  <si>
    <t>V475</t>
  </si>
  <si>
    <t>V476</t>
  </si>
  <si>
    <t>V478</t>
  </si>
  <si>
    <t>V479</t>
  </si>
  <si>
    <t>V480</t>
  </si>
  <si>
    <t>V481</t>
  </si>
  <si>
    <t>V482</t>
  </si>
  <si>
    <t>V484</t>
  </si>
  <si>
    <t>V486</t>
  </si>
  <si>
    <t>V487</t>
  </si>
  <si>
    <t>V489</t>
  </si>
  <si>
    <t>V490</t>
  </si>
  <si>
    <t>V491</t>
  </si>
  <si>
    <t>V492</t>
  </si>
  <si>
    <t>V493</t>
  </si>
  <si>
    <t>V494</t>
  </si>
  <si>
    <t>V495</t>
  </si>
  <si>
    <t>V496</t>
  </si>
  <si>
    <t>V497</t>
  </si>
  <si>
    <t>V499</t>
  </si>
  <si>
    <t>V500</t>
  </si>
  <si>
    <t>HC</t>
  </si>
  <si>
    <t>NHC</t>
  </si>
  <si>
    <t xml:space="preserve"> </t>
  </si>
  <si>
    <t/>
  </si>
  <si>
    <t>Volunteer Makeup by Segment (HC vs NHC)</t>
  </si>
  <si>
    <t>Segments</t>
  </si>
  <si>
    <t>Total Volunteer Hours by Segment</t>
  </si>
  <si>
    <t>Segments ( HC-NHC)</t>
  </si>
  <si>
    <t xml:space="preserve">Average of Segments Monthly Hours </t>
  </si>
  <si>
    <t xml:space="preserve">Segments </t>
  </si>
  <si>
    <t>Outreach Type</t>
  </si>
  <si>
    <t>HC Cost of Acquisition</t>
  </si>
  <si>
    <t>NHC Cost of Acquisition</t>
  </si>
  <si>
    <t>Cost of Acquisition  (SAR)</t>
  </si>
  <si>
    <t xml:space="preserve"> HC Cost of Acquisition</t>
  </si>
  <si>
    <t xml:space="preserve"> NHC Cost of Acquisition</t>
  </si>
  <si>
    <t>Cost of Acquisition Per Segments</t>
  </si>
  <si>
    <t>Forecasted and Gap Needed Hours</t>
  </si>
  <si>
    <t xml:space="preserve">  </t>
  </si>
  <si>
    <t>Cons</t>
  </si>
  <si>
    <t>Mid-To-Late Career</t>
  </si>
  <si>
    <t>• Experienced
• Professional expertise</t>
  </si>
  <si>
    <t>• Health limitations</t>
  </si>
  <si>
    <t>Average Hours</t>
  </si>
  <si>
    <t>• Already trained
• High HC background
• Enthusiastic</t>
  </si>
  <si>
    <t>• Professional skills</t>
  </si>
  <si>
    <t>• Limited availability</t>
  </si>
  <si>
    <t>• No training
• Work commitments</t>
  </si>
  <si>
    <t>• Mostly HC background</t>
  </si>
  <si>
    <t>• Flexible schedules
• All NHC background</t>
  </si>
  <si>
    <t>• Need training</t>
  </si>
  <si>
    <t>Satisfaction Score</t>
  </si>
  <si>
    <t>HC Background for Segments</t>
  </si>
  <si>
    <t>Sector Priority</t>
  </si>
  <si>
    <t xml:space="preserve">Rank </t>
  </si>
  <si>
    <t xml:space="preserve">Priority </t>
  </si>
  <si>
    <t>Satisfaction  level</t>
  </si>
  <si>
    <t xml:space="preserve">Medium cost (63 SAR/hour)
</t>
  </si>
  <si>
    <t xml:space="preserve"> Low cost (50 SAR/hour) </t>
  </si>
  <si>
    <t>Lowest cost (40 SAR/hour)</t>
  </si>
  <si>
    <t>Medium cost (57 SAR/hour)</t>
  </si>
  <si>
    <t>Lowest hours (2.0)</t>
  </si>
  <si>
    <t xml:space="preserve"> Lowest hours (1.5)</t>
  </si>
  <si>
    <t xml:space="preserve"> Highest hours (5.0)</t>
  </si>
  <si>
    <t>Recommend Target Segments</t>
  </si>
  <si>
    <t>Sum of Satisfaction Score</t>
  </si>
  <si>
    <t xml:space="preserve"> High Satisfaction</t>
  </si>
  <si>
    <t>Low Satisfaction</t>
  </si>
  <si>
    <t>Medium Satisfaction</t>
  </si>
  <si>
    <t>Satisfaction Level</t>
  </si>
  <si>
    <t>Volunteer Workforce Analysis for Namaa Foundation</t>
  </si>
  <si>
    <t>Cost per Hour</t>
  </si>
  <si>
    <t>Pros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</si>
</sst>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_(&quot;$&quot;* #,##0_);_(&quot;$&quot;* \(#,##0\);_(&quot;$&quot;* &quot;-&quot;??_);_(@_)"/>
    <numFmt numFmtId="166" formatCode="_-* #,##0\ [$ر.س.‏-401]_-;\-* #,##0\ [$ر.س.‏-401]_-;_-* &quot;-&quot;\ [$ر.س.‏-401]_-;_-@_-"/>
  </numFmts>
  <fonts count="15" x14ac:knownFonts="1">
    <font>
      <sz val="11"/>
      <color theme="1"/>
      <name val="Aptos Narrow"/>
      <family val="2"/>
      <scheme val="minor"/>
    </font>
    <font>
      <b/>
      <sz val="11"/>
      <color theme="0"/>
      <name val="Aptos Narrow"/>
      <family val="2"/>
      <scheme val="minor"/>
    </font>
    <font>
      <b/>
      <sz val="11"/>
      <color theme="1"/>
      <name val="Aptos Display"/>
      <family val="2"/>
      <scheme val="major"/>
    </font>
    <font>
      <b/>
      <sz val="18"/>
      <color theme="1"/>
      <name val="Aptos Narrow"/>
      <family val="2"/>
      <scheme val="minor"/>
    </font>
    <font>
      <b/>
      <sz val="11"/>
      <color theme="1"/>
      <name val="Aptos Narrow"/>
      <family val="2"/>
      <scheme val="minor"/>
    </font>
    <font>
      <b/>
      <sz val="14"/>
      <color theme="1"/>
      <name val="Aptos Display"/>
      <family val="2"/>
      <scheme val="major"/>
    </font>
    <font>
      <sz val="11"/>
      <color theme="1"/>
      <name val="Aptos Narrow"/>
      <family val="2"/>
      <scheme val="minor"/>
    </font>
    <font>
      <sz val="14"/>
      <color rgb="FF595959"/>
      <name val="Aptos Narrow"/>
      <family val="2"/>
      <scheme val="minor"/>
    </font>
    <font>
      <b/>
      <sz val="14"/>
      <color theme="1"/>
      <name val="Aptos Narrow"/>
      <family val="2"/>
      <scheme val="minor"/>
    </font>
    <font>
      <b/>
      <sz val="16"/>
      <color theme="1"/>
      <name val="Aptos Narrow"/>
      <family val="2"/>
      <scheme val="minor"/>
    </font>
    <font>
      <sz val="11"/>
      <color rgb="FF006100"/>
      <name val="Aptos Narrow"/>
      <family val="2"/>
      <scheme val="minor"/>
    </font>
    <font>
      <sz val="11"/>
      <color rgb="FF9C0006"/>
      <name val="Aptos Narrow"/>
      <family val="2"/>
      <scheme val="minor"/>
    </font>
    <font>
      <sz val="14"/>
      <color theme="1"/>
      <name val="Aptos Narrow"/>
      <family val="2"/>
      <scheme val="minor"/>
    </font>
    <font>
      <b/>
      <sz val="14"/>
      <color theme="2"/>
      <name val="Aptos Narrow"/>
      <family val="2"/>
      <scheme val="minor"/>
    </font>
    <font>
      <b/>
      <sz val="36"/>
      <color theme="3"/>
      <name val="Aptos Narrow"/>
      <family val="2"/>
      <scheme val="minor"/>
    </font>
  </fonts>
  <fills count="12">
    <fill>
      <patternFill patternType="none"/>
    </fill>
    <fill>
      <patternFill patternType="gray125"/>
    </fill>
    <fill>
      <patternFill patternType="solid">
        <fgColor theme="3" tint="0.89999084444715716"/>
        <bgColor indexed="64"/>
      </patternFill>
    </fill>
    <fill>
      <patternFill patternType="solid">
        <fgColor theme="4"/>
        <bgColor indexed="64"/>
      </patternFill>
    </fill>
    <fill>
      <patternFill patternType="solid">
        <fgColor theme="0" tint="-0.14999847407452621"/>
        <bgColor theme="0" tint="-0.14999847407452621"/>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0" tint="-0.14999847407452621"/>
      </patternFill>
    </fill>
    <fill>
      <patternFill patternType="solid">
        <fgColor theme="2"/>
        <bgColor indexed="64"/>
      </patternFill>
    </fill>
    <fill>
      <patternFill patternType="solid">
        <fgColor theme="6"/>
        <bgColor indexed="64"/>
      </patternFill>
    </fill>
    <fill>
      <patternFill patternType="solid">
        <fgColor rgb="FFC6EFCE"/>
      </patternFill>
    </fill>
    <fill>
      <patternFill patternType="solid">
        <fgColor rgb="FFFFC7CE"/>
      </patternFill>
    </fill>
  </fills>
  <borders count="46">
    <border>
      <left/>
      <right/>
      <top/>
      <bottom/>
      <diagonal/>
    </border>
    <border>
      <left/>
      <right/>
      <top/>
      <bottom style="medium">
        <color theme="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indexed="64"/>
      </top>
      <bottom style="medium">
        <color theme="1"/>
      </bottom>
      <diagonal/>
    </border>
    <border>
      <left/>
      <right/>
      <top style="medium">
        <color theme="1"/>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4" tint="0.39997558519241921"/>
      </bottom>
      <diagonal/>
    </border>
    <border>
      <left/>
      <right style="medium">
        <color indexed="64"/>
      </right>
      <top style="thin">
        <color theme="4" tint="0.39997558519241921"/>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4" fontId="6" fillId="0" borderId="0" applyFont="0" applyFill="0" applyBorder="0" applyAlignment="0" applyProtection="0"/>
    <xf numFmtId="0" fontId="10" fillId="10" borderId="0" applyNumberFormat="0" applyBorder="0" applyAlignment="0" applyProtection="0"/>
    <xf numFmtId="0" fontId="11" fillId="11" borderId="0" applyNumberFormat="0" applyBorder="0" applyAlignment="0" applyProtection="0"/>
  </cellStyleXfs>
  <cellXfs count="188">
    <xf numFmtId="0" fontId="0" fillId="0" borderId="0" xfId="0"/>
    <xf numFmtId="0" fontId="0" fillId="0" borderId="0" xfId="0" applyAlignment="1">
      <alignment horizontal="center"/>
    </xf>
    <xf numFmtId="0" fontId="2" fillId="0" borderId="0" xfId="0" applyFont="1"/>
    <xf numFmtId="0" fontId="0" fillId="4" borderId="0" xfId="0" applyFill="1" applyAlignment="1">
      <alignment horizontal="left"/>
    </xf>
    <xf numFmtId="0" fontId="0" fillId="0" borderId="0" xfId="0" applyAlignment="1">
      <alignment horizontal="left"/>
    </xf>
    <xf numFmtId="0" fontId="0" fillId="4" borderId="0" xfId="0" applyFill="1" applyAlignment="1">
      <alignment horizontal="center"/>
    </xf>
    <xf numFmtId="0" fontId="1" fillId="3" borderId="1" xfId="0" applyFont="1" applyFill="1" applyBorder="1" applyAlignment="1">
      <alignment horizontal="center"/>
    </xf>
    <xf numFmtId="0" fontId="0" fillId="0" borderId="0" xfId="0" applyAlignment="1">
      <alignment horizontal="left" vertical="center" wrapText="1"/>
    </xf>
    <xf numFmtId="0" fontId="0" fillId="4" borderId="0" xfId="0" applyFill="1" applyAlignment="1">
      <alignment horizontal="left" vertical="top" wrapText="1"/>
    </xf>
    <xf numFmtId="0" fontId="0" fillId="0" borderId="0" xfId="0" applyAlignment="1">
      <alignment horizontal="left" vertical="top" wrapText="1"/>
    </xf>
    <xf numFmtId="0" fontId="0" fillId="4" borderId="0" xfId="0" applyFill="1" applyAlignment="1">
      <alignment horizontal="center" vertical="center" wrapText="1"/>
    </xf>
    <xf numFmtId="0" fontId="0" fillId="0" borderId="0" xfId="0" applyAlignment="1">
      <alignment horizontal="center" vertical="center" wrapText="1"/>
    </xf>
    <xf numFmtId="3" fontId="0" fillId="4" borderId="0" xfId="0" applyNumberFormat="1" applyFill="1" applyAlignment="1">
      <alignment horizontal="center" vertical="center" wrapText="1"/>
    </xf>
    <xf numFmtId="3" fontId="0" fillId="0" borderId="0" xfId="0" applyNumberFormat="1" applyAlignment="1">
      <alignment horizontal="center" vertical="center" wrapText="1"/>
    </xf>
    <xf numFmtId="0" fontId="0" fillId="0" borderId="4" xfId="0" applyBorder="1"/>
    <xf numFmtId="0" fontId="1" fillId="3" borderId="5" xfId="0" applyFont="1" applyFill="1" applyBorder="1" applyAlignment="1">
      <alignment horizontal="center"/>
    </xf>
    <xf numFmtId="0" fontId="0" fillId="0" borderId="3" xfId="0" applyBorder="1" applyAlignment="1">
      <alignment horizontal="left" vertical="center" wrapText="1"/>
    </xf>
    <xf numFmtId="0" fontId="0" fillId="0" borderId="3" xfId="0" applyBorder="1"/>
    <xf numFmtId="0" fontId="0" fillId="4" borderId="6" xfId="0" applyFill="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4" borderId="3" xfId="0" applyFill="1" applyBorder="1" applyAlignment="1">
      <alignment horizontal="left" vertical="center" wrapText="1"/>
    </xf>
    <xf numFmtId="3" fontId="0" fillId="4" borderId="6" xfId="0" applyNumberFormat="1" applyFill="1" applyBorder="1" applyAlignment="1">
      <alignment horizontal="center" vertical="center" wrapText="1"/>
    </xf>
    <xf numFmtId="3" fontId="0" fillId="0" borderId="6" xfId="0" applyNumberFormat="1" applyBorder="1" applyAlignment="1">
      <alignment horizontal="center" vertical="center" wrapText="1"/>
    </xf>
    <xf numFmtId="0" fontId="0" fillId="0" borderId="4" xfId="0" applyBorder="1" applyAlignment="1">
      <alignment horizontal="left" vertical="center" wrapText="1"/>
    </xf>
    <xf numFmtId="3" fontId="0" fillId="0" borderId="8" xfId="0" applyNumberFormat="1" applyBorder="1" applyAlignment="1">
      <alignment horizontal="center" vertical="center" wrapText="1"/>
    </xf>
    <xf numFmtId="0" fontId="1" fillId="3"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0" fillId="3" borderId="6" xfId="0" applyFill="1" applyBorder="1" applyAlignment="1">
      <alignment horizontal="center" vertical="center" wrapText="1"/>
    </xf>
    <xf numFmtId="0" fontId="0" fillId="0" borderId="6" xfId="0" applyBorder="1" applyAlignment="1">
      <alignment horizontal="center" vertical="top" wrapText="1"/>
    </xf>
    <xf numFmtId="0" fontId="0" fillId="0" borderId="0" xfId="0" pivotButton="1"/>
    <xf numFmtId="0" fontId="0" fillId="0" borderId="0" xfId="0" applyAlignment="1">
      <alignment horizontal="left" indent="1"/>
    </xf>
    <xf numFmtId="0" fontId="0" fillId="0" borderId="0" xfId="0" applyAlignment="1">
      <alignment vertical="center"/>
    </xf>
    <xf numFmtId="0" fontId="0" fillId="0" borderId="0" xfId="0" applyAlignment="1">
      <alignment horizontal="center" vertical="center"/>
    </xf>
    <xf numFmtId="0" fontId="0" fillId="0" borderId="15" xfId="0" applyBorder="1"/>
    <xf numFmtId="0" fontId="0" fillId="4" borderId="11" xfId="0" applyFill="1" applyBorder="1" applyAlignment="1">
      <alignment horizontal="left" vertical="center" wrapText="1"/>
    </xf>
    <xf numFmtId="0" fontId="0" fillId="0" borderId="11" xfId="0" applyBorder="1"/>
    <xf numFmtId="0" fontId="0" fillId="4" borderId="11" xfId="0" applyFill="1" applyBorder="1"/>
    <xf numFmtId="0" fontId="0" fillId="0" borderId="12" xfId="0" applyBorder="1"/>
    <xf numFmtId="0" fontId="1" fillId="3" borderId="13" xfId="0" applyFont="1" applyFill="1" applyBorder="1" applyAlignment="1">
      <alignment horizontal="center"/>
    </xf>
    <xf numFmtId="0" fontId="0" fillId="4" borderId="1" xfId="0" applyFill="1" applyBorder="1" applyAlignment="1">
      <alignment horizontal="left"/>
    </xf>
    <xf numFmtId="0" fontId="0" fillId="4" borderId="1" xfId="0" applyFill="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0" fillId="0" borderId="14" xfId="0" pivotButton="1" applyBorder="1"/>
    <xf numFmtId="0" fontId="0" fillId="0" borderId="17" xfId="0" applyBorder="1" applyAlignment="1">
      <alignment horizontal="left"/>
    </xf>
    <xf numFmtId="0" fontId="0" fillId="0" borderId="18" xfId="0" applyBorder="1"/>
    <xf numFmtId="0" fontId="0" fillId="0" borderId="19" xfId="0" applyBorder="1" applyAlignment="1">
      <alignment horizontal="left"/>
    </xf>
    <xf numFmtId="0" fontId="0" fillId="0" borderId="20" xfId="0" applyBorder="1"/>
    <xf numFmtId="0" fontId="0" fillId="0" borderId="24" xfId="0" pivotButton="1" applyBorder="1"/>
    <xf numFmtId="0" fontId="0" fillId="0" borderId="9" xfId="0" applyBorder="1" applyAlignment="1">
      <alignment horizontal="left"/>
    </xf>
    <xf numFmtId="0" fontId="0" fillId="0" borderId="25" xfId="0" applyBorder="1" applyAlignment="1">
      <alignment horizontal="left"/>
    </xf>
    <xf numFmtId="0" fontId="4" fillId="6" borderId="22" xfId="0" applyFont="1" applyFill="1" applyBorder="1"/>
    <xf numFmtId="0" fontId="4" fillId="6" borderId="23" xfId="0" applyFont="1" applyFill="1" applyBorder="1"/>
    <xf numFmtId="0" fontId="0" fillId="0" borderId="27" xfId="0" applyBorder="1"/>
    <xf numFmtId="0" fontId="0" fillId="0" borderId="10" xfId="0" applyBorder="1"/>
    <xf numFmtId="0" fontId="0" fillId="0" borderId="28" xfId="0" applyBorder="1"/>
    <xf numFmtId="0" fontId="0" fillId="4" borderId="17" xfId="0" applyFill="1"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3" fontId="0" fillId="0" borderId="20" xfId="0" applyNumberFormat="1" applyBorder="1" applyAlignment="1">
      <alignment horizontal="center" vertical="center" wrapText="1"/>
    </xf>
    <xf numFmtId="0" fontId="0" fillId="0" borderId="20" xfId="0" applyBorder="1" applyAlignment="1">
      <alignment vertical="center" wrapText="1"/>
    </xf>
    <xf numFmtId="0" fontId="0" fillId="0" borderId="20" xfId="0" applyBorder="1" applyAlignment="1">
      <alignment horizontal="center" vertical="center"/>
    </xf>
    <xf numFmtId="3" fontId="0" fillId="0" borderId="0" xfId="0" applyNumberFormat="1"/>
    <xf numFmtId="3" fontId="0" fillId="0" borderId="0" xfId="0" applyNumberFormat="1" applyAlignment="1">
      <alignment horizontal="center"/>
    </xf>
    <xf numFmtId="0" fontId="0" fillId="0" borderId="18" xfId="0" applyBorder="1" applyAlignment="1">
      <alignment horizontal="center" vertical="center"/>
    </xf>
    <xf numFmtId="0" fontId="1" fillId="5" borderId="9" xfId="0" applyFont="1" applyFill="1" applyBorder="1" applyAlignment="1">
      <alignment horizontal="center" vertical="center"/>
    </xf>
    <xf numFmtId="0" fontId="0" fillId="3" borderId="26" xfId="0" applyFill="1" applyBorder="1" applyAlignment="1">
      <alignment horizontal="center" vertical="center" wrapText="1"/>
    </xf>
    <xf numFmtId="0" fontId="0" fillId="0" borderId="21" xfId="0" applyBorder="1" applyAlignment="1">
      <alignment horizontal="center" vertical="center"/>
    </xf>
    <xf numFmtId="3" fontId="0" fillId="7" borderId="20" xfId="0" applyNumberFormat="1" applyFill="1" applyBorder="1" applyAlignment="1">
      <alignment horizontal="center" vertical="center"/>
    </xf>
    <xf numFmtId="0" fontId="0" fillId="3" borderId="0" xfId="0" applyFill="1" applyAlignment="1">
      <alignment horizontal="center" vertical="center"/>
    </xf>
    <xf numFmtId="0" fontId="7" fillId="0" borderId="0" xfId="0" applyFont="1" applyAlignment="1">
      <alignment horizontal="center" vertical="center" readingOrder="1"/>
    </xf>
    <xf numFmtId="0" fontId="0" fillId="9" borderId="0" xfId="0" applyFill="1" applyAlignment="1">
      <alignment horizontal="center" vertical="center"/>
    </xf>
    <xf numFmtId="0" fontId="0" fillId="0" borderId="9" xfId="0" applyBorder="1" applyAlignment="1">
      <alignment horizontal="left" vertical="top"/>
    </xf>
    <xf numFmtId="0" fontId="1" fillId="5" borderId="13" xfId="0" applyFont="1" applyFill="1" applyBorder="1" applyAlignment="1">
      <alignment horizontal="center" vertical="center"/>
    </xf>
    <xf numFmtId="0" fontId="0" fillId="0" borderId="17" xfId="0" applyBorder="1" applyAlignment="1">
      <alignment horizontal="center" vertical="center"/>
    </xf>
    <xf numFmtId="0" fontId="1" fillId="5" borderId="29" xfId="0" applyFont="1" applyFill="1" applyBorder="1" applyAlignment="1">
      <alignment horizontal="center"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0" borderId="25" xfId="0" applyBorder="1" applyAlignment="1">
      <alignment horizontal="left" vertical="top"/>
    </xf>
    <xf numFmtId="165" fontId="0" fillId="4" borderId="0" xfId="1" applyNumberFormat="1" applyFont="1" applyFill="1" applyBorder="1" applyAlignment="1">
      <alignment vertical="center"/>
    </xf>
    <xf numFmtId="165" fontId="0" fillId="4" borderId="18" xfId="1" applyNumberFormat="1" applyFont="1" applyFill="1" applyBorder="1" applyAlignment="1">
      <alignment vertical="center"/>
    </xf>
    <xf numFmtId="165" fontId="0" fillId="0" borderId="0" xfId="1" applyNumberFormat="1" applyFont="1" applyBorder="1" applyAlignment="1">
      <alignment vertical="center"/>
    </xf>
    <xf numFmtId="165" fontId="0" fillId="0" borderId="18" xfId="1" applyNumberFormat="1" applyFont="1" applyBorder="1" applyAlignment="1">
      <alignment vertical="center"/>
    </xf>
    <xf numFmtId="165" fontId="0" fillId="4" borderId="20" xfId="1" applyNumberFormat="1" applyFont="1" applyFill="1" applyBorder="1" applyAlignment="1">
      <alignment vertical="center"/>
    </xf>
    <xf numFmtId="165" fontId="0" fillId="4" borderId="21" xfId="1" applyNumberFormat="1" applyFont="1" applyFill="1" applyBorder="1" applyAlignment="1">
      <alignment vertical="center"/>
    </xf>
    <xf numFmtId="165" fontId="0" fillId="0" borderId="20" xfId="1" applyNumberFormat="1" applyFont="1" applyBorder="1" applyAlignment="1">
      <alignment vertical="center"/>
    </xf>
    <xf numFmtId="165" fontId="0" fillId="0" borderId="0" xfId="0" applyNumberFormat="1"/>
    <xf numFmtId="0" fontId="0" fillId="0" borderId="20" xfId="0" applyBorder="1" applyAlignment="1">
      <alignment horizontal="center" vertical="center" wrapText="1"/>
    </xf>
    <xf numFmtId="164" fontId="0" fillId="0" borderId="31" xfId="0" applyNumberFormat="1" applyBorder="1"/>
    <xf numFmtId="164" fontId="0" fillId="0" borderId="32" xfId="0" applyNumberFormat="1" applyBorder="1"/>
    <xf numFmtId="0" fontId="0" fillId="0" borderId="30" xfId="0" pivotButton="1" applyBorder="1"/>
    <xf numFmtId="0" fontId="0" fillId="0" borderId="30" xfId="0" applyBorder="1" applyAlignment="1">
      <alignment horizontal="left"/>
    </xf>
    <xf numFmtId="0" fontId="0" fillId="0" borderId="31" xfId="0" applyBorder="1" applyAlignment="1">
      <alignment horizontal="left" indent="1"/>
    </xf>
    <xf numFmtId="0" fontId="0" fillId="0" borderId="32" xfId="0" applyBorder="1" applyAlignment="1">
      <alignment horizontal="left" indent="1"/>
    </xf>
    <xf numFmtId="0" fontId="0" fillId="0" borderId="33" xfId="0" applyBorder="1" applyAlignment="1">
      <alignment horizontal="left" indent="1"/>
    </xf>
    <xf numFmtId="0" fontId="0" fillId="0" borderId="30" xfId="0" applyBorder="1"/>
    <xf numFmtId="0" fontId="0" fillId="0" borderId="34" xfId="0" applyBorder="1"/>
    <xf numFmtId="0" fontId="0" fillId="0" borderId="35" xfId="0" applyBorder="1"/>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10" fontId="0" fillId="0" borderId="31" xfId="0" applyNumberFormat="1" applyBorder="1"/>
    <xf numFmtId="10" fontId="0" fillId="0" borderId="32" xfId="0" applyNumberFormat="1" applyBorder="1"/>
    <xf numFmtId="10" fontId="0" fillId="0" borderId="33" xfId="0" applyNumberFormat="1" applyBorder="1"/>
    <xf numFmtId="0" fontId="0" fillId="8" borderId="0" xfId="0" applyFill="1"/>
    <xf numFmtId="0" fontId="1" fillId="5" borderId="0" xfId="0" applyFont="1" applyFill="1" applyAlignment="1">
      <alignment horizontal="center" vertical="center"/>
    </xf>
    <xf numFmtId="0" fontId="0" fillId="4" borderId="0" xfId="0" applyFill="1" applyAlignment="1">
      <alignment horizontal="center" vertical="center"/>
    </xf>
    <xf numFmtId="0" fontId="0" fillId="0" borderId="0" xfId="0" applyAlignment="1">
      <alignment vertical="center" wrapText="1"/>
    </xf>
    <xf numFmtId="3" fontId="0" fillId="4" borderId="0" xfId="0" applyNumberFormat="1" applyFill="1" applyAlignment="1">
      <alignment horizontal="center" vertical="center"/>
    </xf>
    <xf numFmtId="3" fontId="0" fillId="7" borderId="0" xfId="0" applyNumberFormat="1" applyFill="1" applyAlignment="1">
      <alignment horizontal="center" vertical="center"/>
    </xf>
    <xf numFmtId="0" fontId="1" fillId="0" borderId="0" xfId="0" applyFont="1" applyAlignment="1">
      <alignment horizontal="center" vertical="center" wrapText="1"/>
    </xf>
    <xf numFmtId="0" fontId="12" fillId="0" borderId="17"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12" fillId="0" borderId="18" xfId="0" applyFont="1" applyBorder="1" applyAlignment="1">
      <alignment horizontal="center" vertical="center"/>
    </xf>
    <xf numFmtId="0" fontId="13" fillId="3" borderId="37" xfId="0" applyFont="1" applyFill="1" applyBorder="1" applyAlignment="1">
      <alignment vertical="center"/>
    </xf>
    <xf numFmtId="9" fontId="12" fillId="0" borderId="0" xfId="0" applyNumberFormat="1"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top"/>
    </xf>
    <xf numFmtId="0" fontId="12" fillId="0" borderId="0" xfId="0" applyFont="1" applyAlignment="1">
      <alignment horizontal="left" vertical="top" wrapText="1"/>
    </xf>
    <xf numFmtId="0" fontId="13" fillId="3" borderId="37" xfId="3" applyFont="1" applyFill="1" applyBorder="1" applyAlignment="1">
      <alignment vertical="center"/>
    </xf>
    <xf numFmtId="9" fontId="12" fillId="0" borderId="0" xfId="3" applyNumberFormat="1" applyFont="1" applyFill="1" applyBorder="1" applyAlignment="1">
      <alignment horizontal="center" vertical="center"/>
    </xf>
    <xf numFmtId="0" fontId="13" fillId="3" borderId="37" xfId="2" applyFont="1" applyFill="1" applyBorder="1" applyAlignment="1">
      <alignment vertical="center"/>
    </xf>
    <xf numFmtId="9" fontId="12" fillId="0" borderId="0" xfId="2" applyNumberFormat="1" applyFont="1" applyFill="1" applyBorder="1" applyAlignment="1">
      <alignment horizontal="center" vertical="center"/>
    </xf>
    <xf numFmtId="0" fontId="13" fillId="3" borderId="36" xfId="0" applyFont="1" applyFill="1" applyBorder="1" applyAlignment="1">
      <alignment vertical="center"/>
    </xf>
    <xf numFmtId="9" fontId="12" fillId="0" borderId="20" xfId="0" applyNumberFormat="1" applyFont="1" applyBorder="1" applyAlignment="1">
      <alignment horizontal="center" vertical="center"/>
    </xf>
    <xf numFmtId="0" fontId="12" fillId="0" borderId="20" xfId="0" applyFont="1" applyBorder="1" applyAlignment="1">
      <alignment horizontal="left" vertical="center" wrapText="1"/>
    </xf>
    <xf numFmtId="0" fontId="12" fillId="0" borderId="20" xfId="0" applyFont="1" applyBorder="1" applyAlignment="1">
      <alignment horizontal="center" vertical="center"/>
    </xf>
    <xf numFmtId="0" fontId="12" fillId="0" borderId="20" xfId="0" applyFont="1" applyBorder="1" applyAlignment="1">
      <alignment horizontal="left" vertical="top"/>
    </xf>
    <xf numFmtId="0" fontId="12" fillId="0" borderId="20" xfId="0" applyFont="1" applyBorder="1" applyAlignment="1">
      <alignment horizontal="center" vertical="center" wrapText="1"/>
    </xf>
    <xf numFmtId="9" fontId="0" fillId="0" borderId="0" xfId="0" applyNumberFormat="1"/>
    <xf numFmtId="0" fontId="1" fillId="3" borderId="34" xfId="0" applyFont="1" applyFill="1" applyBorder="1" applyAlignment="1">
      <alignment horizontal="center" vertical="center"/>
    </xf>
    <xf numFmtId="0" fontId="1" fillId="3" borderId="35" xfId="0" applyFont="1" applyFill="1" applyBorder="1" applyAlignment="1">
      <alignment horizontal="center" vertical="center"/>
    </xf>
    <xf numFmtId="166" fontId="0" fillId="0" borderId="0" xfId="0" applyNumberFormat="1"/>
    <xf numFmtId="0" fontId="8" fillId="8" borderId="14" xfId="0" applyFont="1" applyFill="1" applyBorder="1" applyAlignment="1">
      <alignment horizontal="center" vertical="center" readingOrder="1"/>
    </xf>
    <xf numFmtId="0" fontId="8" fillId="8" borderId="16" xfId="0" applyFont="1" applyFill="1" applyBorder="1" applyAlignment="1">
      <alignment horizontal="center" vertical="center" readingOrder="1"/>
    </xf>
    <xf numFmtId="0" fontId="8" fillId="8" borderId="17" xfId="0" applyFont="1" applyFill="1" applyBorder="1" applyAlignment="1">
      <alignment horizontal="center" vertical="center" readingOrder="1"/>
    </xf>
    <xf numFmtId="0" fontId="8" fillId="8" borderId="18" xfId="0" applyFont="1" applyFill="1" applyBorder="1" applyAlignment="1">
      <alignment horizontal="center" vertical="center" readingOrder="1"/>
    </xf>
    <xf numFmtId="0" fontId="8" fillId="8" borderId="15" xfId="0" applyFont="1" applyFill="1" applyBorder="1" applyAlignment="1">
      <alignment horizontal="center" vertical="center" readingOrder="1"/>
    </xf>
    <xf numFmtId="0" fontId="8" fillId="8" borderId="0" xfId="0" applyFont="1" applyFill="1" applyAlignment="1">
      <alignment horizontal="center" vertical="center" readingOrder="1"/>
    </xf>
    <xf numFmtId="0" fontId="8" fillId="8" borderId="14" xfId="0" applyFont="1" applyFill="1" applyBorder="1" applyAlignment="1">
      <alignment horizontal="center" vertical="center"/>
    </xf>
    <xf numFmtId="0" fontId="8" fillId="8" borderId="15" xfId="0" applyFont="1" applyFill="1" applyBorder="1" applyAlignment="1">
      <alignment horizontal="center" vertical="center"/>
    </xf>
    <xf numFmtId="0" fontId="8" fillId="8" borderId="16" xfId="0" applyFont="1" applyFill="1" applyBorder="1" applyAlignment="1">
      <alignment horizontal="center" vertical="center"/>
    </xf>
    <xf numFmtId="0" fontId="8" fillId="8" borderId="17" xfId="0" applyFont="1" applyFill="1" applyBorder="1" applyAlignment="1">
      <alignment horizontal="center" vertical="center"/>
    </xf>
    <xf numFmtId="0" fontId="8" fillId="8" borderId="0" xfId="0" applyFont="1" applyFill="1" applyAlignment="1">
      <alignment horizontal="center" vertical="center"/>
    </xf>
    <xf numFmtId="0" fontId="8" fillId="8" borderId="18" xfId="0" applyFont="1" applyFill="1" applyBorder="1" applyAlignment="1">
      <alignment horizontal="center" vertical="center"/>
    </xf>
    <xf numFmtId="0" fontId="3" fillId="2" borderId="0" xfId="0" applyFont="1" applyFill="1" applyAlignment="1">
      <alignment horizontal="center"/>
    </xf>
    <xf numFmtId="0" fontId="3" fillId="0" borderId="0" xfId="0" applyFont="1" applyAlignment="1">
      <alignment horizontal="center"/>
    </xf>
    <xf numFmtId="0" fontId="5" fillId="8" borderId="14" xfId="0" applyFont="1" applyFill="1" applyBorder="1" applyAlignment="1">
      <alignment horizontal="center" vertical="center"/>
    </xf>
    <xf numFmtId="0" fontId="5" fillId="8" borderId="15"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21" xfId="0" applyFont="1" applyFill="1" applyBorder="1" applyAlignment="1">
      <alignment horizontal="center" vertical="center"/>
    </xf>
    <xf numFmtId="0" fontId="9" fillId="8" borderId="14" xfId="0" applyFont="1" applyFill="1" applyBorder="1" applyAlignment="1">
      <alignment horizontal="center" vertical="center"/>
    </xf>
    <xf numFmtId="0" fontId="9" fillId="8" borderId="15" xfId="0" applyFont="1" applyFill="1" applyBorder="1" applyAlignment="1">
      <alignment horizontal="center" vertical="center"/>
    </xf>
    <xf numFmtId="0" fontId="9" fillId="8" borderId="16" xfId="0" applyFont="1" applyFill="1" applyBorder="1" applyAlignment="1">
      <alignment horizontal="center" vertical="center"/>
    </xf>
    <xf numFmtId="0" fontId="9" fillId="8" borderId="17" xfId="0" applyFont="1" applyFill="1" applyBorder="1" applyAlignment="1">
      <alignment horizontal="center" vertical="center"/>
    </xf>
    <xf numFmtId="0" fontId="9" fillId="8" borderId="0" xfId="0" applyFont="1" applyFill="1" applyAlignment="1">
      <alignment horizontal="center" vertical="center"/>
    </xf>
    <xf numFmtId="0" fontId="9" fillId="8" borderId="18"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3" fillId="8" borderId="17" xfId="0" applyFont="1" applyFill="1" applyBorder="1" applyAlignment="1">
      <alignment horizontal="center" vertical="center"/>
    </xf>
    <xf numFmtId="0" fontId="3" fillId="8" borderId="0" xfId="0" applyFont="1" applyFill="1" applyAlignment="1">
      <alignment horizontal="center" vertical="center"/>
    </xf>
    <xf numFmtId="0" fontId="3" fillId="8" borderId="18" xfId="0" applyFont="1" applyFill="1" applyBorder="1" applyAlignment="1">
      <alignment horizontal="center" vertical="center"/>
    </xf>
    <xf numFmtId="0" fontId="14" fillId="8" borderId="38" xfId="0" applyFont="1" applyFill="1" applyBorder="1" applyAlignment="1">
      <alignment horizontal="center" vertical="center"/>
    </xf>
    <xf numFmtId="0" fontId="14" fillId="8" borderId="39" xfId="0" applyFont="1" applyFill="1" applyBorder="1" applyAlignment="1">
      <alignment horizontal="center" vertical="center"/>
    </xf>
    <xf numFmtId="0" fontId="14" fillId="8" borderId="40" xfId="0" applyFont="1" applyFill="1" applyBorder="1" applyAlignment="1">
      <alignment horizontal="center" vertical="center"/>
    </xf>
    <xf numFmtId="0" fontId="14" fillId="8" borderId="41"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42" xfId="0" applyFont="1" applyFill="1" applyBorder="1" applyAlignment="1">
      <alignment horizontal="center" vertical="center"/>
    </xf>
    <xf numFmtId="0" fontId="14" fillId="8" borderId="43" xfId="0" applyFont="1" applyFill="1" applyBorder="1" applyAlignment="1">
      <alignment horizontal="center" vertical="center"/>
    </xf>
    <xf numFmtId="0" fontId="14" fillId="8" borderId="44" xfId="0" applyFont="1" applyFill="1" applyBorder="1" applyAlignment="1">
      <alignment horizontal="center" vertical="center"/>
    </xf>
    <xf numFmtId="0" fontId="14" fillId="8" borderId="45" xfId="0" applyFont="1" applyFill="1" applyBorder="1" applyAlignment="1">
      <alignment horizontal="center" vertical="center"/>
    </xf>
    <xf numFmtId="0" fontId="0" fillId="0" borderId="0" xfId="0" applyNumberFormat="1"/>
    <xf numFmtId="0" fontId="0" fillId="0" borderId="0" xfId="0" applyNumberFormat="1" applyBorder="1"/>
    <xf numFmtId="0" fontId="0" fillId="0" borderId="18" xfId="0" applyNumberFormat="1" applyBorder="1"/>
    <xf numFmtId="0" fontId="0" fillId="0" borderId="20" xfId="0" applyNumberFormat="1" applyBorder="1"/>
    <xf numFmtId="0" fontId="0" fillId="0" borderId="21" xfId="0" applyNumberFormat="1" applyBorder="1"/>
    <xf numFmtId="0" fontId="0" fillId="0" borderId="14" xfId="0" applyNumberFormat="1" applyBorder="1"/>
    <xf numFmtId="0" fontId="0" fillId="0" borderId="16" xfId="0" applyNumberFormat="1" applyBorder="1"/>
    <xf numFmtId="0" fontId="0" fillId="0" borderId="17" xfId="0" applyNumberFormat="1" applyBorder="1"/>
    <xf numFmtId="0" fontId="0" fillId="0" borderId="19" xfId="0" applyNumberFormat="1" applyBorder="1"/>
    <xf numFmtId="0" fontId="0" fillId="0" borderId="33" xfId="0" applyNumberFormat="1" applyBorder="1"/>
    <xf numFmtId="0" fontId="0" fillId="0" borderId="15" xfId="0" applyNumberFormat="1" applyBorder="1"/>
  </cellXfs>
  <cellStyles count="4">
    <cellStyle name="Bad" xfId="3" builtinId="27"/>
    <cellStyle name="Currency" xfId="1" builtinId="4"/>
    <cellStyle name="Good" xfId="2" builtinId="26"/>
    <cellStyle name="Normal" xfId="0" builtinId="0"/>
  </cellStyles>
  <dxfs count="48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val="0"/>
        <outline val="0"/>
        <shadow val="0"/>
        <u val="none"/>
        <vertAlign val="baseline"/>
        <sz val="14"/>
        <name val="Aptos Narrow"/>
        <family val="2"/>
        <scheme val="minor"/>
      </font>
      <alignment horizontal="center" vertical="center" textRotation="0" indent="0" justifyLastLine="0" shrinkToFit="0" readingOrder="0"/>
    </dxf>
    <dxf>
      <font>
        <strike val="0"/>
        <outline val="0"/>
        <shadow val="0"/>
        <u val="none"/>
        <vertAlign val="baseline"/>
        <sz val="14"/>
        <name val="Aptos Narrow"/>
        <family val="2"/>
        <scheme val="minor"/>
      </font>
      <alignment horizontal="left" vertical="top" textRotation="0" indent="0" justifyLastLine="0" shrinkToFit="0" readingOrder="0"/>
    </dxf>
    <dxf>
      <font>
        <strike val="0"/>
        <outline val="0"/>
        <shadow val="0"/>
        <u val="none"/>
        <vertAlign val="baseline"/>
        <sz val="14"/>
        <name val="Aptos Narrow"/>
        <family val="2"/>
        <scheme val="minor"/>
      </font>
      <alignment horizontal="left" vertical="center" textRotation="0" indent="0" justifyLastLine="0" shrinkToFit="0" readingOrder="0"/>
    </dxf>
    <dxf>
      <font>
        <strike val="0"/>
        <outline val="0"/>
        <shadow val="0"/>
        <u val="none"/>
        <vertAlign val="baseline"/>
        <sz val="14"/>
        <name val="Aptos Narrow"/>
        <family val="2"/>
        <scheme val="minor"/>
      </font>
      <alignment horizontal="center" vertical="center" textRotation="0" indent="0" justifyLastLine="0" shrinkToFit="0" readingOrder="0"/>
    </dxf>
    <dxf>
      <font>
        <b val="0"/>
        <strike val="0"/>
        <outline val="0"/>
        <shadow val="0"/>
        <u val="none"/>
        <vertAlign val="baseline"/>
        <sz val="14"/>
        <name val="Aptos Narrow"/>
        <family val="2"/>
        <scheme val="minor"/>
      </font>
      <alignment horizontal="center" vertical="center" textRotation="0" wrapText="1" indent="0" justifyLastLine="0" shrinkToFit="0" readingOrder="0"/>
    </dxf>
    <dxf>
      <font>
        <b val="0"/>
        <strike val="0"/>
        <outline val="0"/>
        <shadow val="0"/>
        <u val="none"/>
        <vertAlign val="baseline"/>
        <sz val="14"/>
        <color theme="1"/>
        <name val="Aptos Narrow"/>
        <family val="2"/>
        <scheme val="minor"/>
      </font>
      <alignment horizontal="center" vertical="center" textRotation="0" wrapText="1" indent="0" justifyLastLine="0" shrinkToFit="0" readingOrder="0"/>
    </dxf>
    <dxf>
      <font>
        <strike val="0"/>
        <outline val="0"/>
        <shadow val="0"/>
        <u val="none"/>
        <vertAlign val="baseline"/>
        <sz val="14"/>
        <name val="Aptos Narrow"/>
        <family val="2"/>
        <scheme val="minor"/>
      </font>
      <alignment horizontal="center" vertical="center" textRotation="0" wrapText="0" indent="0" justifyLastLine="0" shrinkToFit="0" readingOrder="0"/>
    </dxf>
    <dxf>
      <font>
        <b/>
        <strike val="0"/>
        <outline val="0"/>
        <shadow val="0"/>
        <u val="none"/>
        <vertAlign val="baseline"/>
        <sz val="14"/>
        <color theme="2"/>
        <name val="Aptos Narrow"/>
        <family val="2"/>
        <scheme val="minor"/>
      </font>
      <fill>
        <patternFill patternType="solid">
          <fgColor indexed="64"/>
          <bgColor theme="4"/>
        </patternFill>
      </fill>
      <alignment horizontal="general" vertical="center" textRotation="0" wrapText="0" indent="0" justifyLastLine="0" shrinkToFit="0" readingOrder="0"/>
      <border diagonalUp="0" diagonalDown="0" outline="0">
        <left style="medium">
          <color indexed="64"/>
        </left>
        <right/>
        <top/>
        <bottom/>
      </border>
    </dxf>
    <dxf>
      <font>
        <strike val="0"/>
        <outline val="0"/>
        <shadow val="0"/>
        <u val="none"/>
        <vertAlign val="baseline"/>
        <sz val="14"/>
        <name val="Aptos Narrow"/>
        <family val="2"/>
        <scheme val="minor"/>
      </font>
      <alignment horizontal="center" vertical="center" textRotation="0" indent="0" justifyLastLine="0" shrinkToFit="0" readingOrder="0"/>
    </dxf>
    <dxf>
      <font>
        <strike val="0"/>
        <outline val="0"/>
        <shadow val="0"/>
        <u val="none"/>
        <vertAlign val="baseline"/>
        <sz val="14"/>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fill>
        <patternFill patternType="solid">
          <fgColor theme="0" tint="-0.14999847407452621"/>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right style="thin">
          <color indexed="64"/>
        </right>
      </border>
    </dxf>
    <dxf>
      <border>
        <right style="thin">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top/>
        <bottom/>
      </border>
    </dxf>
    <dxf>
      <border>
        <right/>
        <top/>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top" textRotation="0" wrapText="1" indent="0" justifyLastLine="0" shrinkToFit="0" readingOrder="0"/>
    </dxf>
    <dxf>
      <border outline="0">
        <top style="medium">
          <color theme="1"/>
        </top>
        <bottom style="medium">
          <color theme="1"/>
        </bottom>
      </border>
    </dxf>
    <dxf>
      <border outline="0">
        <bottom style="medium">
          <color theme="1"/>
        </bottom>
      </border>
    </dxf>
    <dxf>
      <font>
        <b/>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border outline="0">
        <top style="medium">
          <color theme="1"/>
        </top>
        <bottom style="medium">
          <color theme="1"/>
        </bottom>
      </border>
    </dxf>
    <dxf>
      <border outline="0">
        <bottom style="medium">
          <color theme="1"/>
        </bottom>
      </border>
    </dxf>
    <dxf>
      <font>
        <b/>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center" vertical="center" textRotation="0" wrapText="0" indent="0" justifyLastLine="0" shrinkToFit="0" readingOrder="0"/>
      <protection locked="1" hidden="0"/>
    </dxf>
    <dxf>
      <numFmt numFmtId="0" formatCode="General"/>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ill>
        <patternFill patternType="solid">
          <fgColor indexed="64"/>
          <bgColor theme="4"/>
        </patternFill>
      </fill>
      <alignment horizontal="center" vertical="center" textRotation="0" wrapText="0" indent="0" justifyLastLine="0" shrinkToFit="0" readingOrder="0"/>
      <protection locked="1" hidden="0"/>
    </dxf>
    <dxf>
      <numFmt numFmtId="165" formatCode="_(&quot;$&quot;* #,##0_);_(&quot;$&quot;* \(#,##0\);_(&quot;$&quot;* &quot;-&quot;??_);_(@_)"/>
      <fill>
        <patternFill patternType="solid">
          <fgColor theme="0" tint="-0.14999847407452621"/>
          <bgColor theme="0" tint="-0.14999847407452621"/>
        </patternFill>
      </fill>
      <alignment horizontal="general" vertical="center" textRotation="0" wrapText="0" indent="0" justifyLastLine="0" shrinkToFit="0" readingOrder="0"/>
    </dxf>
    <dxf>
      <numFmt numFmtId="165" formatCode="_(&quot;$&quot;* #,##0_);_(&quot;$&quot;* \(#,##0\);_(&quot;$&quot;* &quot;-&quot;??_);_(@_)"/>
      <fill>
        <patternFill patternType="solid">
          <fgColor theme="0" tint="-0.14999847407452621"/>
          <bgColor theme="0" tint="-0.14999847407452621"/>
        </patternFill>
      </fill>
      <alignment horizontal="general" vertical="center" textRotation="0" wrapText="0" indent="0" justifyLastLine="0" shrinkToFit="0" readingOrder="0"/>
    </dxf>
    <dxf>
      <numFmt numFmtId="165" formatCode="_(&quot;$&quot;* #,##0_);_(&quot;$&quot;* \(#,##0\);_(&quot;$&quot;* &quot;-&quot;??_);_(@_)"/>
      <alignment horizontal="general" vertical="center" textRotation="0" wrapText="0" indent="0" justifyLastLine="0" shrinkToFit="0" readingOrder="0"/>
    </dxf>
    <dxf>
      <numFmt numFmtId="164" formatCode="0.0"/>
      <alignment horizontal="left" vertical="top" textRotation="0" wrapText="0" indent="0" justifyLastLine="0" shrinkToFit="0" readingOrder="0"/>
      <border diagonalUp="0" diagonalDown="0" outline="0">
        <left style="thin">
          <color indexed="64"/>
        </left>
        <right/>
        <top/>
        <bottom/>
      </border>
    </dxf>
    <dxf>
      <alignment horizontal="left"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166" formatCode="_-* #,##0\ [$ر.س.‏-401]_-;\-* #,##0\ [$ر.س.‏-401]_-;_-* &quot;-&quot;\ [$ر.س.‏-401]_-;_-@_-"/>
    </dxf>
    <dxf>
      <numFmt numFmtId="165" formatCode="_(&quot;$&quot;* #,##0_);_(&quot;$&quot;* \(#,##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6.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25.xlsx]Q1!PTable1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Volunteer Makeup by Segment (HC vs NHC)</a:t>
            </a:r>
            <a:endParaRPr lang="en-US"/>
          </a:p>
        </c:rich>
      </c:tx>
      <c:layout>
        <c:manualLayout>
          <c:xMode val="edge"/>
          <c:yMode val="edge"/>
          <c:x val="0.55261533858946277"/>
          <c:y val="3.0175855707358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9659804938464"/>
          <c:y val="0.13225092646836809"/>
          <c:w val="0.57043150585987745"/>
          <c:h val="0.75886542162737503"/>
        </c:manualLayout>
      </c:layout>
      <c:barChart>
        <c:barDir val="bar"/>
        <c:grouping val="stacked"/>
        <c:varyColors val="0"/>
        <c:ser>
          <c:idx val="0"/>
          <c:order val="0"/>
          <c:tx>
            <c:strRef>
              <c:f>'Q1'!$C$7:$C$8</c:f>
              <c:strCache>
                <c:ptCount val="1"/>
                <c:pt idx="0">
                  <c:v>HC</c:v>
                </c:pt>
              </c:strCache>
            </c:strRef>
          </c:tx>
          <c:spPr>
            <a:solidFill>
              <a:schemeClr val="accent1">
                <a:shade val="76000"/>
              </a:schemeClr>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'Q1'!$B$9:$B$14</c:f>
              <c:strCache>
                <c:ptCount val="5"/>
                <c:pt idx="0">
                  <c:v>Homemakers</c:v>
                </c:pt>
                <c:pt idx="1">
                  <c:v>Mid-to-Late Career</c:v>
                </c:pt>
                <c:pt idx="2">
                  <c:v>Retirees</c:v>
                </c:pt>
                <c:pt idx="3">
                  <c:v>Students</c:v>
                </c:pt>
                <c:pt idx="4">
                  <c:v>Young Professionals</c:v>
                </c:pt>
              </c:strCache>
            </c:strRef>
          </c:cat>
          <c:val>
            <c:numRef>
              <c:f>'Q1'!$C$9:$C$14</c:f>
              <c:numCache>
                <c:formatCode>General</c:formatCode>
                <c:ptCount val="5"/>
                <c:pt idx="0">
                  <c:v>33</c:v>
                </c:pt>
                <c:pt idx="1">
                  <c:v>27</c:v>
                </c:pt>
                <c:pt idx="2">
                  <c:v>12</c:v>
                </c:pt>
                <c:pt idx="3">
                  <c:v>78</c:v>
                </c:pt>
                <c:pt idx="4">
                  <c:v>49</c:v>
                </c:pt>
              </c:numCache>
            </c:numRef>
          </c:val>
          <c:extLst>
            <c:ext xmlns:c16="http://schemas.microsoft.com/office/drawing/2014/chart" uri="{C3380CC4-5D6E-409C-BE32-E72D297353CC}">
              <c16:uniqueId val="{00000000-AAC4-4B92-AF08-7F61D06E1BBF}"/>
            </c:ext>
          </c:extLst>
        </c:ser>
        <c:ser>
          <c:idx val="1"/>
          <c:order val="1"/>
          <c:tx>
            <c:strRef>
              <c:f>'Q1'!$D$7:$D$8</c:f>
              <c:strCache>
                <c:ptCount val="1"/>
                <c:pt idx="0">
                  <c:v>NHC</c:v>
                </c:pt>
              </c:strCache>
            </c:strRef>
          </c:tx>
          <c:spPr>
            <a:solidFill>
              <a:schemeClr val="accent1">
                <a:tint val="77000"/>
              </a:schemeClr>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'Q1'!$B$9:$B$14</c:f>
              <c:strCache>
                <c:ptCount val="5"/>
                <c:pt idx="0">
                  <c:v>Homemakers</c:v>
                </c:pt>
                <c:pt idx="1">
                  <c:v>Mid-to-Late Career</c:v>
                </c:pt>
                <c:pt idx="2">
                  <c:v>Retirees</c:v>
                </c:pt>
                <c:pt idx="3">
                  <c:v>Students</c:v>
                </c:pt>
                <c:pt idx="4">
                  <c:v>Young Professionals</c:v>
                </c:pt>
              </c:strCache>
            </c:strRef>
          </c:cat>
          <c:val>
            <c:numRef>
              <c:f>'Q1'!$D$9:$D$14</c:f>
              <c:numCache>
                <c:formatCode>General</c:formatCode>
                <c:ptCount val="5"/>
                <c:pt idx="0">
                  <c:v>42</c:v>
                </c:pt>
                <c:pt idx="1">
                  <c:v>48</c:v>
                </c:pt>
                <c:pt idx="2">
                  <c:v>13</c:v>
                </c:pt>
                <c:pt idx="3">
                  <c:v>122</c:v>
                </c:pt>
                <c:pt idx="4">
                  <c:v>76</c:v>
                </c:pt>
              </c:numCache>
            </c:numRef>
          </c:val>
          <c:extLst>
            <c:ext xmlns:c16="http://schemas.microsoft.com/office/drawing/2014/chart" uri="{C3380CC4-5D6E-409C-BE32-E72D297353CC}">
              <c16:uniqueId val="{00000002-BA9D-4870-9A17-F1E693091DAE}"/>
            </c:ext>
          </c:extLst>
        </c:ser>
        <c:dLbls>
          <c:dLblPos val="inEnd"/>
          <c:showLegendKey val="0"/>
          <c:showVal val="1"/>
          <c:showCatName val="0"/>
          <c:showSerName val="0"/>
          <c:showPercent val="0"/>
          <c:showBubbleSize val="0"/>
        </c:dLbls>
        <c:gapWidth val="150"/>
        <c:overlap val="100"/>
        <c:axId val="428149088"/>
        <c:axId val="428151008"/>
      </c:barChart>
      <c:catAx>
        <c:axId val="42814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8151008"/>
        <c:crosses val="autoZero"/>
        <c:auto val="1"/>
        <c:lblAlgn val="ctr"/>
        <c:lblOffset val="100"/>
        <c:noMultiLvlLbl val="0"/>
      </c:catAx>
      <c:valAx>
        <c:axId val="42815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49088"/>
        <c:crosses val="autoZero"/>
        <c:crossBetween val="between"/>
      </c:valAx>
      <c:spPr>
        <a:noFill/>
        <a:ln>
          <a:noFill/>
        </a:ln>
        <a:effectLst/>
      </c:spPr>
    </c:plotArea>
    <c:legend>
      <c:legendPos val="r"/>
      <c:layout>
        <c:manualLayout>
          <c:xMode val="edge"/>
          <c:yMode val="edge"/>
          <c:x val="0.86139028475711887"/>
          <c:y val="0.14779000254764993"/>
          <c:w val="0.12955907109526521"/>
          <c:h val="0.1545029165488103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25.xlsx]Q1!PTable2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Volunteer Hours by Segment</a:t>
            </a:r>
          </a:p>
        </c:rich>
      </c:tx>
      <c:layout>
        <c:manualLayout>
          <c:xMode val="edge"/>
          <c:yMode val="edge"/>
          <c:x val="0.46546450353835156"/>
          <c:y val="3.8872034656423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tx2">
              <a:lumMod val="90000"/>
              <a:lumOff val="1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54000"/>
            </a:schemeClr>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tx2">
              <a:lumMod val="90000"/>
              <a:lumOff val="10000"/>
            </a:schemeClr>
          </a:solidFill>
          <a:ln w="19050">
            <a:solidFill>
              <a:schemeClr val="lt1"/>
            </a:solidFill>
          </a:ln>
          <a:effectLst/>
        </c:spPr>
      </c:pivotFmt>
      <c:pivotFmt>
        <c:idx val="7"/>
        <c:spPr>
          <a:solidFill>
            <a:schemeClr val="accent1">
              <a:shade val="76000"/>
            </a:schemeClr>
          </a:solidFill>
          <a:ln w="19050">
            <a:solidFill>
              <a:schemeClr val="lt1"/>
            </a:solidFill>
          </a:ln>
          <a:effectLst/>
        </c:spPr>
      </c:pivotFmt>
      <c:pivotFmt>
        <c:idx val="8"/>
        <c:spPr>
          <a:solidFill>
            <a:schemeClr val="accent1">
              <a:shade val="53000"/>
            </a:schemeClr>
          </a:solidFill>
          <a:ln w="19050">
            <a:solidFill>
              <a:schemeClr val="lt1"/>
            </a:solidFill>
          </a:ln>
          <a:effectLst/>
        </c:spPr>
      </c:pivotFmt>
    </c:pivotFmts>
    <c:plotArea>
      <c:layout/>
      <c:pieChart>
        <c:varyColors val="1"/>
        <c:ser>
          <c:idx val="0"/>
          <c:order val="0"/>
          <c:tx>
            <c:strRef>
              <c:f>'Q1'!$C$27</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D0C5-4DC6-A02E-CA54B98079D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D0C5-4DC6-A02E-CA54B98079D0}"/>
              </c:ext>
            </c:extLst>
          </c:dPt>
          <c:dPt>
            <c:idx val="2"/>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18A2-4F11-BFF8-B9686D6D7D2F}"/>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18A2-4F11-BFF8-B9686D6D7D2F}"/>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D0C5-4DC6-A02E-CA54B98079D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'Q1'!$B$28:$B$33</c:f>
              <c:strCache>
                <c:ptCount val="5"/>
                <c:pt idx="0">
                  <c:v>Homemakers</c:v>
                </c:pt>
                <c:pt idx="1">
                  <c:v>Mid-to-Late Career</c:v>
                </c:pt>
                <c:pt idx="2">
                  <c:v>Retirees</c:v>
                </c:pt>
                <c:pt idx="3">
                  <c:v>Students</c:v>
                </c:pt>
                <c:pt idx="4">
                  <c:v>Young Professionals</c:v>
                </c:pt>
              </c:strCache>
            </c:strRef>
          </c:cat>
          <c:val>
            <c:numRef>
              <c:f>'Q1'!$C$28:$C$33</c:f>
              <c:numCache>
                <c:formatCode>0.00%</c:formatCode>
                <c:ptCount val="5"/>
                <c:pt idx="0">
                  <c:v>0.20202020202020202</c:v>
                </c:pt>
                <c:pt idx="1">
                  <c:v>6.0606060606060608E-2</c:v>
                </c:pt>
                <c:pt idx="2">
                  <c:v>8.0808080808080815E-2</c:v>
                </c:pt>
                <c:pt idx="3">
                  <c:v>0.53872053872053871</c:v>
                </c:pt>
                <c:pt idx="4">
                  <c:v>0.11784511784511785</c:v>
                </c:pt>
              </c:numCache>
            </c:numRef>
          </c:val>
          <c:extLst>
            <c:ext xmlns:c16="http://schemas.microsoft.com/office/drawing/2014/chart" uri="{C3380CC4-5D6E-409C-BE32-E72D297353CC}">
              <c16:uniqueId val="{00000000-18A2-4F11-BFF8-B9686D6D7D2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 25.xlsx]Q2!PTable3</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 of</a:t>
            </a:r>
            <a:r>
              <a:rPr lang="en-US" sz="1200" baseline="0"/>
              <a:t> </a:t>
            </a:r>
            <a:r>
              <a:rPr lang="en-US" sz="1200"/>
              <a:t>Segments Monthly</a:t>
            </a:r>
            <a:r>
              <a:rPr lang="en-US" sz="1200" baseline="0"/>
              <a:t> Hours </a:t>
            </a:r>
            <a:endParaRPr lang="en-US" sz="1200"/>
          </a:p>
        </c:rich>
      </c:tx>
      <c:layout>
        <c:manualLayout>
          <c:xMode val="edge"/>
          <c:yMode val="edge"/>
          <c:x val="0.65490343243300175"/>
          <c:y val="3.29407283234385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342038173295103"/>
          <c:y val="0.16245804610958492"/>
          <c:w val="0.56137985640560928"/>
          <c:h val="0.65532584313048003"/>
        </c:manualLayout>
      </c:layout>
      <c:barChart>
        <c:barDir val="bar"/>
        <c:grouping val="clustered"/>
        <c:varyColors val="0"/>
        <c:ser>
          <c:idx val="0"/>
          <c:order val="0"/>
          <c:tx>
            <c:strRef>
              <c:f>'Q2'!$C$5</c:f>
              <c:strCache>
                <c:ptCount val="1"/>
                <c:pt idx="0">
                  <c:v>Total</c:v>
                </c:pt>
              </c:strCache>
            </c:strRef>
          </c:tx>
          <c:spPr>
            <a:solidFill>
              <a:schemeClr val="tx2">
                <a:lumMod val="75000"/>
                <a:lumOff val="25000"/>
              </a:schemeClr>
            </a:solidFill>
            <a:ln>
              <a:solidFill>
                <a:schemeClr val="tx1">
                  <a:lumMod val="50000"/>
                  <a:lumOff val="50000"/>
                </a:schemeClr>
              </a:solidFill>
            </a:ln>
            <a:effectLst/>
          </c:spPr>
          <c:invertIfNegative val="0"/>
          <c:cat>
            <c:multiLvlStrRef>
              <c:f>'Q2'!$B$6:$B$18</c:f>
              <c:multiLvlStrCache>
                <c:ptCount val="10"/>
                <c:lvl>
                  <c:pt idx="0">
                    <c:v>Homemakers</c:v>
                  </c:pt>
                  <c:pt idx="1">
                    <c:v>Mid-to-Late Career</c:v>
                  </c:pt>
                  <c:pt idx="2">
                    <c:v>Retirees</c:v>
                  </c:pt>
                  <c:pt idx="3">
                    <c:v>Students</c:v>
                  </c:pt>
                  <c:pt idx="4">
                    <c:v>Young Professionals</c:v>
                  </c:pt>
                  <c:pt idx="5">
                    <c:v>Homemakers</c:v>
                  </c:pt>
                  <c:pt idx="6">
                    <c:v>Mid-to-Late Career</c:v>
                  </c:pt>
                  <c:pt idx="7">
                    <c:v>Retirees</c:v>
                  </c:pt>
                  <c:pt idx="8">
                    <c:v>Students</c:v>
                  </c:pt>
                  <c:pt idx="9">
                    <c:v>Young Professionals</c:v>
                  </c:pt>
                </c:lvl>
                <c:lvl>
                  <c:pt idx="0">
                    <c:v>HC</c:v>
                  </c:pt>
                  <c:pt idx="5">
                    <c:v>NHC</c:v>
                  </c:pt>
                </c:lvl>
              </c:multiLvlStrCache>
            </c:multiLvlStrRef>
          </c:cat>
          <c:val>
            <c:numRef>
              <c:f>'Q2'!$C$6:$C$18</c:f>
              <c:numCache>
                <c:formatCode>0.0</c:formatCode>
                <c:ptCount val="10"/>
                <c:pt idx="0">
                  <c:v>3.8787878787878789</c:v>
                </c:pt>
                <c:pt idx="1">
                  <c:v>1.1111111111111112</c:v>
                </c:pt>
                <c:pt idx="2">
                  <c:v>5</c:v>
                </c:pt>
                <c:pt idx="3">
                  <c:v>3.9871794871794872</c:v>
                </c:pt>
                <c:pt idx="4">
                  <c:v>1.6326530612244898</c:v>
                </c:pt>
                <c:pt idx="5">
                  <c:v>4.0952380952380949</c:v>
                </c:pt>
                <c:pt idx="6">
                  <c:v>1.25</c:v>
                </c:pt>
                <c:pt idx="7">
                  <c:v>4.615384615384615</c:v>
                </c:pt>
                <c:pt idx="8">
                  <c:v>4.0081967213114753</c:v>
                </c:pt>
                <c:pt idx="9">
                  <c:v>1.25</c:v>
                </c:pt>
              </c:numCache>
            </c:numRef>
          </c:val>
          <c:extLst>
            <c:ext xmlns:c16="http://schemas.microsoft.com/office/drawing/2014/chart" uri="{C3380CC4-5D6E-409C-BE32-E72D297353CC}">
              <c16:uniqueId val="{00000000-014B-4E01-9519-1BFB9D19F81A}"/>
            </c:ext>
          </c:extLst>
        </c:ser>
        <c:dLbls>
          <c:showLegendKey val="0"/>
          <c:showVal val="0"/>
          <c:showCatName val="0"/>
          <c:showSerName val="0"/>
          <c:showPercent val="0"/>
          <c:showBubbleSize val="0"/>
        </c:dLbls>
        <c:gapWidth val="182"/>
        <c:axId val="1262233439"/>
        <c:axId val="1262231519"/>
      </c:barChart>
      <c:catAx>
        <c:axId val="126223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31519"/>
        <c:crosses val="autoZero"/>
        <c:auto val="1"/>
        <c:lblAlgn val="ctr"/>
        <c:lblOffset val="100"/>
        <c:noMultiLvlLbl val="0"/>
      </c:catAx>
      <c:valAx>
        <c:axId val="1262231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Average</a:t>
                </a:r>
                <a:r>
                  <a:rPr lang="en-US" sz="900" baseline="0"/>
                  <a:t> Hours</a:t>
                </a:r>
                <a:endParaRPr lang="en-US" sz="900"/>
              </a:p>
            </c:rich>
          </c:tx>
          <c:layout>
            <c:manualLayout>
              <c:xMode val="edge"/>
              <c:yMode val="edge"/>
              <c:x val="0.84256418178537307"/>
              <c:y val="0.893447520480555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33439"/>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25.xlsx]Q2!PTable4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Cost of Acquisition Per</a:t>
            </a:r>
            <a:r>
              <a:rPr lang="en-US" sz="1200" baseline="0"/>
              <a:t> Segments</a:t>
            </a:r>
            <a:endParaRPr lang="en-US" sz="1200"/>
          </a:p>
        </c:rich>
      </c:tx>
      <c:layout>
        <c:manualLayout>
          <c:xMode val="edge"/>
          <c:yMode val="edge"/>
          <c:x val="0.65927982311314159"/>
          <c:y val="5.313298765433717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62182852143484"/>
          <c:y val="0.16865522018081072"/>
          <c:w val="0.56331474190726161"/>
          <c:h val="0.54195610965296004"/>
        </c:manualLayout>
      </c:layout>
      <c:barChart>
        <c:barDir val="bar"/>
        <c:grouping val="clustered"/>
        <c:varyColors val="0"/>
        <c:ser>
          <c:idx val="0"/>
          <c:order val="0"/>
          <c:tx>
            <c:strRef>
              <c:f>'Q2'!$C$33</c:f>
              <c:strCache>
                <c:ptCount val="1"/>
                <c:pt idx="0">
                  <c:v> HC Cost of Acquisition</c:v>
                </c:pt>
              </c:strCache>
            </c:strRef>
          </c:tx>
          <c:spPr>
            <a:solidFill>
              <a:schemeClr val="accent1">
                <a:shade val="76000"/>
              </a:schemeClr>
            </a:solidFill>
            <a:ln>
              <a:noFill/>
            </a:ln>
            <a:effectLst/>
          </c:spPr>
          <c:invertIfNegative val="0"/>
          <c:cat>
            <c:strRef>
              <c:f>'Q2'!$B$34:$B$39</c:f>
              <c:strCache>
                <c:ptCount val="5"/>
                <c:pt idx="0">
                  <c:v>Homemakers</c:v>
                </c:pt>
                <c:pt idx="1">
                  <c:v>Mid-to-Late Career</c:v>
                </c:pt>
                <c:pt idx="2">
                  <c:v>Retirees</c:v>
                </c:pt>
                <c:pt idx="3">
                  <c:v>Students</c:v>
                </c:pt>
                <c:pt idx="4">
                  <c:v>Young Professionals</c:v>
                </c:pt>
              </c:strCache>
            </c:strRef>
          </c:cat>
          <c:val>
            <c:numRef>
              <c:f>'Q2'!$C$34:$C$39</c:f>
              <c:numCache>
                <c:formatCode>General</c:formatCode>
                <c:ptCount val="5"/>
                <c:pt idx="0">
                  <c:v>51.5625</c:v>
                </c:pt>
                <c:pt idx="1">
                  <c:v>90</c:v>
                </c:pt>
                <c:pt idx="2">
                  <c:v>40</c:v>
                </c:pt>
                <c:pt idx="3">
                  <c:v>62.70096463022508</c:v>
                </c:pt>
                <c:pt idx="4">
                  <c:v>61.25</c:v>
                </c:pt>
              </c:numCache>
            </c:numRef>
          </c:val>
          <c:extLst>
            <c:ext xmlns:c16="http://schemas.microsoft.com/office/drawing/2014/chart" uri="{C3380CC4-5D6E-409C-BE32-E72D297353CC}">
              <c16:uniqueId val="{00000000-A077-4DE8-AA04-8B32764887D8}"/>
            </c:ext>
          </c:extLst>
        </c:ser>
        <c:ser>
          <c:idx val="1"/>
          <c:order val="1"/>
          <c:tx>
            <c:strRef>
              <c:f>'Q2'!$D$33</c:f>
              <c:strCache>
                <c:ptCount val="1"/>
                <c:pt idx="0">
                  <c:v> NHC Cost of Acquisition</c:v>
                </c:pt>
              </c:strCache>
            </c:strRef>
          </c:tx>
          <c:spPr>
            <a:solidFill>
              <a:schemeClr val="accent1">
                <a:tint val="77000"/>
              </a:schemeClr>
            </a:solidFill>
            <a:ln>
              <a:solidFill>
                <a:schemeClr val="tx2"/>
              </a:solidFill>
            </a:ln>
            <a:effectLst/>
          </c:spPr>
          <c:invertIfNegative val="0"/>
          <c:cat>
            <c:strRef>
              <c:f>'Q2'!$B$34:$B$39</c:f>
              <c:strCache>
                <c:ptCount val="5"/>
                <c:pt idx="0">
                  <c:v>Homemakers</c:v>
                </c:pt>
                <c:pt idx="1">
                  <c:v>Mid-to-Late Career</c:v>
                </c:pt>
                <c:pt idx="2">
                  <c:v>Retirees</c:v>
                </c:pt>
                <c:pt idx="3">
                  <c:v>Students</c:v>
                </c:pt>
                <c:pt idx="4">
                  <c:v>Young Professionals</c:v>
                </c:pt>
              </c:strCache>
            </c:strRef>
          </c:cat>
          <c:val>
            <c:numRef>
              <c:f>'Q2'!$D$34:$D$39</c:f>
              <c:numCache>
                <c:formatCode>_("$"* #,##0_);_("$"* \(#,##0\);_("$"* "-"??_);_(@_)</c:formatCode>
                <c:ptCount val="5"/>
                <c:pt idx="0">
                  <c:v>48.837209302325583</c:v>
                </c:pt>
                <c:pt idx="1">
                  <c:v>80</c:v>
                </c:pt>
                <c:pt idx="2">
                  <c:v>43.333333333333336</c:v>
                </c:pt>
                <c:pt idx="3">
                  <c:v>62.372188139059304</c:v>
                </c:pt>
                <c:pt idx="4">
                  <c:v>80</c:v>
                </c:pt>
              </c:numCache>
            </c:numRef>
          </c:val>
          <c:extLst>
            <c:ext xmlns:c16="http://schemas.microsoft.com/office/drawing/2014/chart" uri="{C3380CC4-5D6E-409C-BE32-E72D297353CC}">
              <c16:uniqueId val="{00000002-A077-4DE8-AA04-8B32764887D8}"/>
            </c:ext>
          </c:extLst>
        </c:ser>
        <c:dLbls>
          <c:showLegendKey val="0"/>
          <c:showVal val="0"/>
          <c:showCatName val="0"/>
          <c:showSerName val="0"/>
          <c:showPercent val="0"/>
          <c:showBubbleSize val="0"/>
        </c:dLbls>
        <c:gapWidth val="219"/>
        <c:axId val="1429259295"/>
        <c:axId val="1429257855"/>
      </c:barChart>
      <c:catAx>
        <c:axId val="142925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57855"/>
        <c:crosses val="autoZero"/>
        <c:auto val="1"/>
        <c:lblAlgn val="ctr"/>
        <c:lblOffset val="100"/>
        <c:noMultiLvlLbl val="0"/>
      </c:catAx>
      <c:valAx>
        <c:axId val="1429257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Cost</a:t>
                </a:r>
                <a:r>
                  <a:rPr lang="en-US" sz="900" baseline="0"/>
                  <a:t> (SAR)</a:t>
                </a:r>
                <a:endParaRPr lang="en-US" sz="900"/>
              </a:p>
            </c:rich>
          </c:tx>
          <c:layout>
            <c:manualLayout>
              <c:xMode val="edge"/>
              <c:yMode val="edge"/>
              <c:x val="0.86375634295713022"/>
              <c:y val="0.79449219889180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59295"/>
        <c:crosses val="autoZero"/>
        <c:crossBetween val="between"/>
      </c:valAx>
      <c:spPr>
        <a:noFill/>
        <a:ln>
          <a:noFill/>
        </a:ln>
        <a:effectLst/>
      </c:spPr>
    </c:plotArea>
    <c:legend>
      <c:legendPos val="b"/>
      <c:layout>
        <c:manualLayout>
          <c:xMode val="edge"/>
          <c:yMode val="edge"/>
          <c:x val="0.35506600822555945"/>
          <c:y val="0.81986423015522114"/>
          <c:w val="0.44946841455184644"/>
          <c:h val="0.13071575609933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25.xlsx]3A!PivotTable13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Volenter Hours Distributed by Category</a:t>
            </a:r>
          </a:p>
        </c:rich>
      </c:tx>
      <c:layout>
        <c:manualLayout>
          <c:xMode val="edge"/>
          <c:yMode val="edge"/>
          <c:x val="0.333826334208224"/>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tx2">
              <a:lumMod val="75000"/>
              <a:lumOff val="25000"/>
            </a:schemeClr>
          </a:solidFill>
          <a:ln w="19050">
            <a:solidFill>
              <a:schemeClr val="lt1"/>
            </a:solidFill>
          </a:ln>
          <a:effectLst/>
        </c:spPr>
      </c:pivotFmt>
      <c:pivotFmt>
        <c:idx val="3"/>
        <c:spPr>
          <a:solidFill>
            <a:schemeClr val="tx2">
              <a:lumMod val="25000"/>
              <a:lumOff val="75000"/>
            </a:schemeClr>
          </a:solidFill>
          <a:ln w="19050">
            <a:solidFill>
              <a:schemeClr val="lt1"/>
            </a:solidFill>
          </a:ln>
          <a:effectLst/>
        </c:spPr>
      </c:pivotFmt>
      <c:pivotFmt>
        <c:idx val="4"/>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19050">
            <a:solidFill>
              <a:schemeClr val="lt1"/>
            </a:solidFill>
          </a:ln>
          <a:effectLst/>
        </c:spPr>
      </c:pivotFmt>
      <c:pivotFmt>
        <c:idx val="6"/>
        <c:spPr>
          <a:solidFill>
            <a:schemeClr val="tx2">
              <a:lumMod val="75000"/>
              <a:lumOff val="25000"/>
            </a:schemeClr>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s>
    <c:plotArea>
      <c:layout/>
      <c:pieChart>
        <c:varyColors val="1"/>
        <c:ser>
          <c:idx val="0"/>
          <c:order val="0"/>
          <c:tx>
            <c:strRef>
              <c:f>'3A'!$C$16</c:f>
              <c:strCache>
                <c:ptCount val="1"/>
                <c:pt idx="0">
                  <c:v>Total</c:v>
                </c:pt>
              </c:strCache>
            </c:strRef>
          </c:tx>
          <c:spPr>
            <a:solidFill>
              <a:schemeClr val="tx2">
                <a:lumMod val="50000"/>
                <a:lumOff val="50000"/>
              </a:schemeClr>
            </a:solidFill>
          </c:spPr>
          <c:explosion val="1"/>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4-3593-4C94-B22E-03D7C7D8AE22}"/>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3593-4C94-B22E-03D7C7D8AE2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2-3593-4C94-B22E-03D7C7D8AE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'3A'!$B$17:$B$22</c:f>
              <c:multiLvlStrCache>
                <c:ptCount val="3"/>
                <c:lvl>
                  <c:pt idx="0">
                    <c:v>Traind</c:v>
                  </c:pt>
                  <c:pt idx="1">
                    <c:v>RequiresTraining</c:v>
                  </c:pt>
                  <c:pt idx="2">
                    <c:v>Traind</c:v>
                  </c:pt>
                </c:lvl>
                <c:lvl>
                  <c:pt idx="0">
                    <c:v>Healthcare</c:v>
                  </c:pt>
                  <c:pt idx="1">
                    <c:v>Non-Healthcare</c:v>
                  </c:pt>
                </c:lvl>
              </c:multiLvlStrCache>
            </c:multiLvlStrRef>
          </c:cat>
          <c:val>
            <c:numRef>
              <c:f>'3A'!$C$17:$C$22</c:f>
              <c:numCache>
                <c:formatCode>General</c:formatCode>
                <c:ptCount val="3"/>
                <c:pt idx="0">
                  <c:v>7000</c:v>
                </c:pt>
                <c:pt idx="1">
                  <c:v>3500</c:v>
                </c:pt>
                <c:pt idx="2">
                  <c:v>7000</c:v>
                </c:pt>
              </c:numCache>
            </c:numRef>
          </c:val>
          <c:extLst>
            <c:ext xmlns:c16="http://schemas.microsoft.com/office/drawing/2014/chart" uri="{C3380CC4-5D6E-409C-BE32-E72D297353CC}">
              <c16:uniqueId val="{00000000-3593-4C94-B22E-03D7C7D8AE22}"/>
            </c:ext>
          </c:extLst>
        </c:ser>
        <c:dLbls>
          <c:dLblPos val="outEnd"/>
          <c:showLegendKey val="0"/>
          <c:showVal val="1"/>
          <c:showCatName val="0"/>
          <c:showSerName val="0"/>
          <c:showPercent val="0"/>
          <c:showBubbleSize val="0"/>
          <c:showLeaderLines val="1"/>
        </c:dLbls>
        <c:firstSliceAng val="162"/>
      </c:pieChart>
      <c:spPr>
        <a:noFill/>
        <a:ln>
          <a:noFill/>
        </a:ln>
        <a:effectLst/>
      </c:spPr>
    </c:plotArea>
    <c:legend>
      <c:legendPos val="r"/>
      <c:layout>
        <c:manualLayout>
          <c:xMode val="edge"/>
          <c:yMode val="edge"/>
          <c:x val="0.62222222222222223"/>
          <c:y val="0.3088086905803441"/>
          <c:w val="0.33333333333333331"/>
          <c:h val="0.54020669291338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25.xlsx]Q3!PTable4</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Forecasted</a:t>
            </a:r>
            <a:r>
              <a:rPr lang="en-US" sz="1600" baseline="0"/>
              <a:t> and Gap Needed Hours</a:t>
            </a:r>
          </a:p>
        </c:rich>
      </c:tx>
      <c:layout>
        <c:manualLayout>
          <c:xMode val="edge"/>
          <c:yMode val="edge"/>
          <c:x val="0.59320620084922493"/>
          <c:y val="2.38872829714619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2913617039645"/>
          <c:y val="0.11276393271716394"/>
          <c:w val="0.76367105838727156"/>
          <c:h val="0.61937500423104708"/>
        </c:manualLayout>
      </c:layout>
      <c:barChart>
        <c:barDir val="col"/>
        <c:grouping val="clustered"/>
        <c:varyColors val="0"/>
        <c:ser>
          <c:idx val="0"/>
          <c:order val="0"/>
          <c:tx>
            <c:strRef>
              <c:f>'Q3'!$B$32</c:f>
              <c:strCache>
                <c:ptCount val="1"/>
                <c:pt idx="0">
                  <c:v>Sum of Forecasted Hours </c:v>
                </c:pt>
              </c:strCache>
            </c:strRef>
          </c:tx>
          <c:spPr>
            <a:solidFill>
              <a:schemeClr val="accent1">
                <a:shade val="76000"/>
              </a:schemeClr>
            </a:solidFill>
            <a:ln>
              <a:solidFill>
                <a:schemeClr val="tx2"/>
              </a:solidFill>
            </a:ln>
            <a:effectLst/>
          </c:spPr>
          <c:invertIfNegative val="0"/>
          <c:cat>
            <c:multiLvlStrRef>
              <c:f>'Q3'!$A$33:$A$38</c:f>
              <c:multiLvlStrCache>
                <c:ptCount val="3"/>
                <c:lvl>
                  <c:pt idx="0">
                    <c:v>Traind</c:v>
                  </c:pt>
                  <c:pt idx="1">
                    <c:v>RequiresTraining</c:v>
                  </c:pt>
                  <c:pt idx="2">
                    <c:v>Traind</c:v>
                  </c:pt>
                </c:lvl>
                <c:lvl>
                  <c:pt idx="0">
                    <c:v>Healthcare</c:v>
                  </c:pt>
                  <c:pt idx="1">
                    <c:v>Non-Healthcare</c:v>
                  </c:pt>
                </c:lvl>
              </c:multiLvlStrCache>
            </c:multiLvlStrRef>
          </c:cat>
          <c:val>
            <c:numRef>
              <c:f>'Q3'!$B$33:$B$38</c:f>
              <c:numCache>
                <c:formatCode>General</c:formatCode>
                <c:ptCount val="3"/>
                <c:pt idx="0">
                  <c:v>7000</c:v>
                </c:pt>
                <c:pt idx="1">
                  <c:v>3500</c:v>
                </c:pt>
                <c:pt idx="2">
                  <c:v>7000</c:v>
                </c:pt>
              </c:numCache>
            </c:numRef>
          </c:val>
          <c:extLst>
            <c:ext xmlns:c16="http://schemas.microsoft.com/office/drawing/2014/chart" uri="{C3380CC4-5D6E-409C-BE32-E72D297353CC}">
              <c16:uniqueId val="{00000000-CCF6-45B7-9750-C8728957F8EF}"/>
            </c:ext>
          </c:extLst>
        </c:ser>
        <c:ser>
          <c:idx val="1"/>
          <c:order val="1"/>
          <c:tx>
            <c:strRef>
              <c:f>'Q3'!$C$32</c:f>
              <c:strCache>
                <c:ptCount val="1"/>
                <c:pt idx="0">
                  <c:v>Sum of Gap</c:v>
                </c:pt>
              </c:strCache>
            </c:strRef>
          </c:tx>
          <c:spPr>
            <a:solidFill>
              <a:schemeClr val="accent1">
                <a:tint val="77000"/>
              </a:schemeClr>
            </a:solidFill>
            <a:ln>
              <a:solidFill>
                <a:schemeClr val="tx2"/>
              </a:solidFill>
            </a:ln>
            <a:effectLst/>
          </c:spPr>
          <c:invertIfNegative val="0"/>
          <c:cat>
            <c:multiLvlStrRef>
              <c:f>'Q3'!$A$33:$A$38</c:f>
              <c:multiLvlStrCache>
                <c:ptCount val="3"/>
                <c:lvl>
                  <c:pt idx="0">
                    <c:v>Traind</c:v>
                  </c:pt>
                  <c:pt idx="1">
                    <c:v>RequiresTraining</c:v>
                  </c:pt>
                  <c:pt idx="2">
                    <c:v>Traind</c:v>
                  </c:pt>
                </c:lvl>
                <c:lvl>
                  <c:pt idx="0">
                    <c:v>Healthcare</c:v>
                  </c:pt>
                  <c:pt idx="1">
                    <c:v>Non-Healthcare</c:v>
                  </c:pt>
                </c:lvl>
              </c:multiLvlStrCache>
            </c:multiLvlStrRef>
          </c:cat>
          <c:val>
            <c:numRef>
              <c:f>'Q3'!$C$33:$C$38</c:f>
              <c:numCache>
                <c:formatCode>#,##0</c:formatCode>
                <c:ptCount val="3"/>
                <c:pt idx="0">
                  <c:v>4530</c:v>
                </c:pt>
                <c:pt idx="1">
                  <c:v>2839</c:v>
                </c:pt>
                <c:pt idx="2">
                  <c:v>6447</c:v>
                </c:pt>
              </c:numCache>
            </c:numRef>
          </c:val>
          <c:extLst>
            <c:ext xmlns:c16="http://schemas.microsoft.com/office/drawing/2014/chart" uri="{C3380CC4-5D6E-409C-BE32-E72D297353CC}">
              <c16:uniqueId val="{00000001-CCF6-45B7-9750-C8728957F8EF}"/>
            </c:ext>
          </c:extLst>
        </c:ser>
        <c:dLbls>
          <c:showLegendKey val="0"/>
          <c:showVal val="0"/>
          <c:showCatName val="0"/>
          <c:showSerName val="0"/>
          <c:showPercent val="0"/>
          <c:showBubbleSize val="0"/>
        </c:dLbls>
        <c:gapWidth val="219"/>
        <c:overlap val="-27"/>
        <c:axId val="1635915520"/>
        <c:axId val="1635916480"/>
      </c:barChart>
      <c:catAx>
        <c:axId val="163591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35916480"/>
        <c:crosses val="autoZero"/>
        <c:auto val="1"/>
        <c:lblAlgn val="ctr"/>
        <c:lblOffset val="100"/>
        <c:noMultiLvlLbl val="0"/>
      </c:catAx>
      <c:valAx>
        <c:axId val="163591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35915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 25.xlsx]Q4!PTable5</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Satisfaction</a:t>
            </a:r>
            <a:r>
              <a:rPr lang="en-US" sz="1600" baseline="0"/>
              <a:t> Levels by Segamnts</a:t>
            </a:r>
          </a:p>
        </c:rich>
      </c:tx>
      <c:layout>
        <c:manualLayout>
          <c:xMode val="edge"/>
          <c:yMode val="edge"/>
          <c:x val="0.60977306439209333"/>
          <c:y val="4.056549698026582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'Q4'!$C$13</c:f>
              <c:strCache>
                <c:ptCount val="1"/>
                <c:pt idx="0">
                  <c:v>Total</c:v>
                </c:pt>
              </c:strCache>
            </c:strRef>
          </c:tx>
          <c:spPr>
            <a:solidFill>
              <a:schemeClr val="tx2">
                <a:lumMod val="75000"/>
                <a:lumOff val="25000"/>
              </a:schemeClr>
            </a:solidFill>
            <a:ln>
              <a:solidFill>
                <a:schemeClr val="tx2"/>
              </a:solidFill>
            </a:ln>
            <a:effectLst/>
          </c:spPr>
          <c:invertIfNegative val="0"/>
          <c:cat>
            <c:multiLvlStrRef>
              <c:f>'Q4'!$B$14:$B$22</c:f>
              <c:multiLvlStrCache>
                <c:ptCount val="5"/>
                <c:lvl>
                  <c:pt idx="0">
                    <c:v>Homemakers</c:v>
                  </c:pt>
                  <c:pt idx="1">
                    <c:v>Young Professionals</c:v>
                  </c:pt>
                  <c:pt idx="2">
                    <c:v>Students</c:v>
                  </c:pt>
                  <c:pt idx="3">
                    <c:v>Retirees</c:v>
                  </c:pt>
                  <c:pt idx="4">
                    <c:v>Mid-To-Late Career</c:v>
                  </c:pt>
                </c:lvl>
                <c:lvl>
                  <c:pt idx="0">
                    <c:v> High Satisfaction</c:v>
                  </c:pt>
                  <c:pt idx="2">
                    <c:v>Medium Satisfaction</c:v>
                  </c:pt>
                  <c:pt idx="4">
                    <c:v>Low Satisfaction</c:v>
                  </c:pt>
                </c:lvl>
              </c:multiLvlStrCache>
            </c:multiLvlStrRef>
          </c:cat>
          <c:val>
            <c:numRef>
              <c:f>'Q4'!$C$14:$C$22</c:f>
              <c:numCache>
                <c:formatCode>0%</c:formatCode>
                <c:ptCount val="5"/>
                <c:pt idx="0">
                  <c:v>0.95</c:v>
                </c:pt>
                <c:pt idx="1">
                  <c:v>0.91</c:v>
                </c:pt>
                <c:pt idx="2">
                  <c:v>0.89</c:v>
                </c:pt>
                <c:pt idx="3">
                  <c:v>0.88</c:v>
                </c:pt>
                <c:pt idx="4">
                  <c:v>0.74</c:v>
                </c:pt>
              </c:numCache>
            </c:numRef>
          </c:val>
          <c:extLst>
            <c:ext xmlns:c16="http://schemas.microsoft.com/office/drawing/2014/chart" uri="{C3380CC4-5D6E-409C-BE32-E72D297353CC}">
              <c16:uniqueId val="{00000000-EC30-4768-A34C-D63485029CD7}"/>
            </c:ext>
          </c:extLst>
        </c:ser>
        <c:dLbls>
          <c:showLegendKey val="0"/>
          <c:showVal val="0"/>
          <c:showCatName val="0"/>
          <c:showSerName val="0"/>
          <c:showPercent val="0"/>
          <c:showBubbleSize val="0"/>
        </c:dLbls>
        <c:gapWidth val="230"/>
        <c:overlap val="-27"/>
        <c:axId val="1445901360"/>
        <c:axId val="1445901840"/>
      </c:barChart>
      <c:catAx>
        <c:axId val="144590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45901840"/>
        <c:crosses val="autoZero"/>
        <c:auto val="1"/>
        <c:lblAlgn val="ctr"/>
        <c:lblOffset val="100"/>
        <c:noMultiLvlLbl val="0"/>
      </c:catAx>
      <c:valAx>
        <c:axId val="144590184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45901360"/>
        <c:crosses val="autoZero"/>
        <c:crossBetween val="between"/>
        <c:majorUnit val="0.2"/>
        <c:minorUnit val="2.0000000000000004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25.xlsx]Q1!PTable1</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i="0" u="none" strike="noStrike" baseline="0">
                <a:effectLst/>
              </a:rPr>
              <a:t>Volunteer Makeup by Segment (HC vs NHC)</a:t>
            </a:r>
            <a:endParaRPr lang="en-US" sz="1800"/>
          </a:p>
        </c:rich>
      </c:tx>
      <c:layout>
        <c:manualLayout>
          <c:xMode val="edge"/>
          <c:yMode val="edge"/>
          <c:x val="0.51622654257184608"/>
          <c:y val="3.017585570735847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9659804938464"/>
          <c:y val="0.13225092646836809"/>
          <c:w val="0.57043150585987745"/>
          <c:h val="0.75886542162737503"/>
        </c:manualLayout>
      </c:layout>
      <c:barChart>
        <c:barDir val="bar"/>
        <c:grouping val="stacked"/>
        <c:varyColors val="0"/>
        <c:ser>
          <c:idx val="0"/>
          <c:order val="0"/>
          <c:tx>
            <c:strRef>
              <c:f>'Q1'!$C$7:$C$8</c:f>
              <c:strCache>
                <c:ptCount val="1"/>
                <c:pt idx="0">
                  <c:v>HC</c:v>
                </c:pt>
              </c:strCache>
            </c:strRef>
          </c:tx>
          <c:spPr>
            <a:solidFill>
              <a:schemeClr val="accent1">
                <a:shade val="76000"/>
              </a:schemeClr>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'Q1'!$B$9:$B$14</c:f>
              <c:strCache>
                <c:ptCount val="5"/>
                <c:pt idx="0">
                  <c:v>Homemakers</c:v>
                </c:pt>
                <c:pt idx="1">
                  <c:v>Mid-to-Late Career</c:v>
                </c:pt>
                <c:pt idx="2">
                  <c:v>Retirees</c:v>
                </c:pt>
                <c:pt idx="3">
                  <c:v>Students</c:v>
                </c:pt>
                <c:pt idx="4">
                  <c:v>Young Professionals</c:v>
                </c:pt>
              </c:strCache>
            </c:strRef>
          </c:cat>
          <c:val>
            <c:numRef>
              <c:f>'Q1'!$C$9:$C$14</c:f>
              <c:numCache>
                <c:formatCode>General</c:formatCode>
                <c:ptCount val="5"/>
                <c:pt idx="0">
                  <c:v>33</c:v>
                </c:pt>
                <c:pt idx="1">
                  <c:v>27</c:v>
                </c:pt>
                <c:pt idx="2">
                  <c:v>12</c:v>
                </c:pt>
                <c:pt idx="3">
                  <c:v>78</c:v>
                </c:pt>
                <c:pt idx="4">
                  <c:v>49</c:v>
                </c:pt>
              </c:numCache>
            </c:numRef>
          </c:val>
          <c:extLst>
            <c:ext xmlns:c16="http://schemas.microsoft.com/office/drawing/2014/chart" uri="{C3380CC4-5D6E-409C-BE32-E72D297353CC}">
              <c16:uniqueId val="{00000000-C79A-4E19-B6EB-D4FDB067CCBC}"/>
            </c:ext>
          </c:extLst>
        </c:ser>
        <c:ser>
          <c:idx val="1"/>
          <c:order val="1"/>
          <c:tx>
            <c:strRef>
              <c:f>'Q1'!$D$7:$D$8</c:f>
              <c:strCache>
                <c:ptCount val="1"/>
                <c:pt idx="0">
                  <c:v>NHC</c:v>
                </c:pt>
              </c:strCache>
            </c:strRef>
          </c:tx>
          <c:spPr>
            <a:solidFill>
              <a:schemeClr val="accent1">
                <a:tint val="77000"/>
              </a:schemeClr>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'Q1'!$B$9:$B$14</c:f>
              <c:strCache>
                <c:ptCount val="5"/>
                <c:pt idx="0">
                  <c:v>Homemakers</c:v>
                </c:pt>
                <c:pt idx="1">
                  <c:v>Mid-to-Late Career</c:v>
                </c:pt>
                <c:pt idx="2">
                  <c:v>Retirees</c:v>
                </c:pt>
                <c:pt idx="3">
                  <c:v>Students</c:v>
                </c:pt>
                <c:pt idx="4">
                  <c:v>Young Professionals</c:v>
                </c:pt>
              </c:strCache>
            </c:strRef>
          </c:cat>
          <c:val>
            <c:numRef>
              <c:f>'Q1'!$D$9:$D$14</c:f>
              <c:numCache>
                <c:formatCode>General</c:formatCode>
                <c:ptCount val="5"/>
                <c:pt idx="0">
                  <c:v>42</c:v>
                </c:pt>
                <c:pt idx="1">
                  <c:v>48</c:v>
                </c:pt>
                <c:pt idx="2">
                  <c:v>13</c:v>
                </c:pt>
                <c:pt idx="3">
                  <c:v>122</c:v>
                </c:pt>
                <c:pt idx="4">
                  <c:v>76</c:v>
                </c:pt>
              </c:numCache>
            </c:numRef>
          </c:val>
          <c:extLst>
            <c:ext xmlns:c16="http://schemas.microsoft.com/office/drawing/2014/chart" uri="{C3380CC4-5D6E-409C-BE32-E72D297353CC}">
              <c16:uniqueId val="{00000003-8CA4-4B55-A421-3605D574E481}"/>
            </c:ext>
          </c:extLst>
        </c:ser>
        <c:dLbls>
          <c:dLblPos val="inEnd"/>
          <c:showLegendKey val="0"/>
          <c:showVal val="1"/>
          <c:showCatName val="0"/>
          <c:showSerName val="0"/>
          <c:showPercent val="0"/>
          <c:showBubbleSize val="0"/>
        </c:dLbls>
        <c:gapWidth val="150"/>
        <c:overlap val="100"/>
        <c:axId val="428149088"/>
        <c:axId val="428151008"/>
      </c:barChart>
      <c:catAx>
        <c:axId val="42814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28151008"/>
        <c:crosses val="autoZero"/>
        <c:auto val="1"/>
        <c:lblAlgn val="ctr"/>
        <c:lblOffset val="100"/>
        <c:noMultiLvlLbl val="0"/>
      </c:catAx>
      <c:valAx>
        <c:axId val="42815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28149088"/>
        <c:crosses val="autoZero"/>
        <c:crossBetween val="between"/>
      </c:valAx>
      <c:spPr>
        <a:noFill/>
        <a:ln>
          <a:noFill/>
        </a:ln>
        <a:effectLst/>
      </c:spPr>
    </c:plotArea>
    <c:legend>
      <c:legendPos val="r"/>
      <c:layout>
        <c:manualLayout>
          <c:xMode val="edge"/>
          <c:yMode val="edge"/>
          <c:x val="0.86278954640956562"/>
          <c:y val="0.21109758610245227"/>
          <c:w val="0.11176072529577237"/>
          <c:h val="0.1601399268700038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25.xlsx]Q1!PTable2</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 Volunteer Hours by Segment</a:t>
            </a:r>
          </a:p>
        </c:rich>
      </c:tx>
      <c:layout>
        <c:manualLayout>
          <c:xMode val="edge"/>
          <c:yMode val="edge"/>
          <c:x val="0.38306658933764404"/>
          <c:y val="3.502482745426559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tx2">
              <a:lumMod val="90000"/>
              <a:lumOff val="1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54000"/>
            </a:schemeClr>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tx2">
              <a:lumMod val="90000"/>
              <a:lumOff val="10000"/>
            </a:schemeClr>
          </a:solidFill>
          <a:ln w="19050">
            <a:solidFill>
              <a:schemeClr val="lt1"/>
            </a:solidFill>
          </a:ln>
          <a:effectLst/>
        </c:spPr>
      </c:pivotFmt>
      <c:pivotFmt>
        <c:idx val="7"/>
        <c:spPr>
          <a:solidFill>
            <a:schemeClr val="accent1">
              <a:shade val="76000"/>
            </a:schemeClr>
          </a:solidFill>
          <a:ln w="19050">
            <a:solidFill>
              <a:schemeClr val="lt1"/>
            </a:solidFill>
          </a:ln>
          <a:effectLst/>
        </c:spPr>
      </c:pivotFmt>
      <c:pivotFmt>
        <c:idx val="8"/>
        <c:spPr>
          <a:solidFill>
            <a:schemeClr val="accent1">
              <a:shade val="53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tint val="54000"/>
            </a:schemeClr>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tx2">
              <a:lumMod val="90000"/>
              <a:lumOff val="10000"/>
            </a:schemeClr>
          </a:solidFill>
          <a:ln w="19050">
            <a:solidFill>
              <a:schemeClr val="lt1"/>
            </a:solidFill>
          </a:ln>
          <a:effectLst/>
        </c:spPr>
      </c:pivotFmt>
      <c:pivotFmt>
        <c:idx val="13"/>
        <c:spPr>
          <a:solidFill>
            <a:schemeClr val="accent1">
              <a:shade val="76000"/>
            </a:schemeClr>
          </a:solidFill>
          <a:ln w="19050">
            <a:solidFill>
              <a:schemeClr val="lt1"/>
            </a:solidFill>
          </a:ln>
          <a:effectLst/>
        </c:spPr>
      </c:pivotFmt>
      <c:pivotFmt>
        <c:idx val="14"/>
        <c:spPr>
          <a:solidFill>
            <a:schemeClr val="accent1">
              <a:shade val="53000"/>
            </a:schemeClr>
          </a:solidFill>
          <a:ln w="19050">
            <a:solidFill>
              <a:schemeClr val="lt1"/>
            </a:solidFill>
          </a:ln>
          <a:effectLst/>
        </c:spPr>
      </c:pivotFmt>
      <c:pivotFmt>
        <c:idx val="15"/>
        <c:spPr>
          <a:solidFill>
            <a:schemeClr val="accent1"/>
          </a:solidFill>
          <a:ln w="317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tint val="54000"/>
            </a:schemeClr>
          </a:solidFill>
          <a:ln w="31750">
            <a:solidFill>
              <a:schemeClr val="lt1"/>
            </a:solidFill>
          </a:ln>
          <a:effectLst/>
        </c:spPr>
      </c:pivotFmt>
      <c:pivotFmt>
        <c:idx val="17"/>
        <c:spPr>
          <a:solidFill>
            <a:schemeClr val="accent1">
              <a:tint val="77000"/>
            </a:schemeClr>
          </a:solidFill>
          <a:ln w="31750">
            <a:solidFill>
              <a:schemeClr val="lt1"/>
            </a:solidFill>
          </a:ln>
          <a:effectLst/>
        </c:spPr>
      </c:pivotFmt>
      <c:pivotFmt>
        <c:idx val="18"/>
        <c:spPr>
          <a:solidFill>
            <a:schemeClr val="tx2">
              <a:lumMod val="90000"/>
              <a:lumOff val="10000"/>
            </a:schemeClr>
          </a:solidFill>
          <a:ln w="31750">
            <a:solidFill>
              <a:schemeClr val="lt1"/>
            </a:solidFill>
          </a:ln>
          <a:effectLst/>
        </c:spPr>
      </c:pivotFmt>
      <c:pivotFmt>
        <c:idx val="19"/>
        <c:spPr>
          <a:solidFill>
            <a:schemeClr val="accent1">
              <a:shade val="76000"/>
            </a:schemeClr>
          </a:solidFill>
          <a:ln w="31750">
            <a:solidFill>
              <a:schemeClr val="lt1"/>
            </a:solidFill>
          </a:ln>
          <a:effectLst/>
        </c:spPr>
      </c:pivotFmt>
      <c:pivotFmt>
        <c:idx val="20"/>
        <c:spPr>
          <a:solidFill>
            <a:schemeClr val="accent1">
              <a:shade val="53000"/>
            </a:schemeClr>
          </a:solidFill>
          <a:ln w="31750">
            <a:solidFill>
              <a:schemeClr val="lt1"/>
            </a:solidFill>
          </a:ln>
          <a:effectLst/>
        </c:spPr>
      </c:pivotFmt>
    </c:pivotFmts>
    <c:plotArea>
      <c:layout/>
      <c:pieChart>
        <c:varyColors val="1"/>
        <c:ser>
          <c:idx val="0"/>
          <c:order val="0"/>
          <c:tx>
            <c:strRef>
              <c:f>'Q1'!$C$27</c:f>
              <c:strCache>
                <c:ptCount val="1"/>
                <c:pt idx="0">
                  <c:v>Total</c:v>
                </c:pt>
              </c:strCache>
            </c:strRef>
          </c:tx>
          <c:spPr>
            <a:ln w="31750"/>
          </c:spPr>
          <c:dPt>
            <c:idx val="0"/>
            <c:bubble3D val="0"/>
            <c:spPr>
              <a:solidFill>
                <a:schemeClr val="accent1">
                  <a:tint val="54000"/>
                </a:schemeClr>
              </a:solidFill>
              <a:ln w="31750">
                <a:solidFill>
                  <a:schemeClr val="lt1"/>
                </a:solidFill>
              </a:ln>
              <a:effectLst/>
            </c:spPr>
            <c:extLst>
              <c:ext xmlns:c16="http://schemas.microsoft.com/office/drawing/2014/chart" uri="{C3380CC4-5D6E-409C-BE32-E72D297353CC}">
                <c16:uniqueId val="{00000001-97B4-46AE-8506-76C00E9BD635}"/>
              </c:ext>
            </c:extLst>
          </c:dPt>
          <c:dPt>
            <c:idx val="1"/>
            <c:bubble3D val="0"/>
            <c:spPr>
              <a:solidFill>
                <a:schemeClr val="accent1">
                  <a:tint val="77000"/>
                </a:schemeClr>
              </a:solidFill>
              <a:ln w="31750">
                <a:solidFill>
                  <a:schemeClr val="lt1"/>
                </a:solidFill>
              </a:ln>
              <a:effectLst/>
            </c:spPr>
            <c:extLst>
              <c:ext xmlns:c16="http://schemas.microsoft.com/office/drawing/2014/chart" uri="{C3380CC4-5D6E-409C-BE32-E72D297353CC}">
                <c16:uniqueId val="{00000003-97B4-46AE-8506-76C00E9BD635}"/>
              </c:ext>
            </c:extLst>
          </c:dPt>
          <c:dPt>
            <c:idx val="2"/>
            <c:bubble3D val="0"/>
            <c:spPr>
              <a:solidFill>
                <a:schemeClr val="tx2">
                  <a:lumMod val="90000"/>
                  <a:lumOff val="10000"/>
                </a:schemeClr>
              </a:solidFill>
              <a:ln w="31750">
                <a:solidFill>
                  <a:schemeClr val="lt1"/>
                </a:solidFill>
              </a:ln>
              <a:effectLst/>
            </c:spPr>
            <c:extLst>
              <c:ext xmlns:c16="http://schemas.microsoft.com/office/drawing/2014/chart" uri="{C3380CC4-5D6E-409C-BE32-E72D297353CC}">
                <c16:uniqueId val="{00000005-97B4-46AE-8506-76C00E9BD635}"/>
              </c:ext>
            </c:extLst>
          </c:dPt>
          <c:dPt>
            <c:idx val="3"/>
            <c:bubble3D val="0"/>
            <c:spPr>
              <a:solidFill>
                <a:schemeClr val="accent1">
                  <a:shade val="76000"/>
                </a:schemeClr>
              </a:solidFill>
              <a:ln w="31750">
                <a:solidFill>
                  <a:schemeClr val="lt1"/>
                </a:solidFill>
              </a:ln>
              <a:effectLst/>
            </c:spPr>
            <c:extLst>
              <c:ext xmlns:c16="http://schemas.microsoft.com/office/drawing/2014/chart" uri="{C3380CC4-5D6E-409C-BE32-E72D297353CC}">
                <c16:uniqueId val="{00000007-97B4-46AE-8506-76C00E9BD635}"/>
              </c:ext>
            </c:extLst>
          </c:dPt>
          <c:dPt>
            <c:idx val="4"/>
            <c:bubble3D val="0"/>
            <c:spPr>
              <a:solidFill>
                <a:schemeClr val="accent1">
                  <a:shade val="53000"/>
                </a:schemeClr>
              </a:solidFill>
              <a:ln w="31750">
                <a:solidFill>
                  <a:schemeClr val="lt1"/>
                </a:solidFill>
              </a:ln>
              <a:effectLst/>
            </c:spPr>
            <c:extLst>
              <c:ext xmlns:c16="http://schemas.microsoft.com/office/drawing/2014/chart" uri="{C3380CC4-5D6E-409C-BE32-E72D297353CC}">
                <c16:uniqueId val="{00000009-97B4-46AE-8506-76C00E9BD63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'Q1'!$B$28:$B$33</c:f>
              <c:strCache>
                <c:ptCount val="5"/>
                <c:pt idx="0">
                  <c:v>Homemakers</c:v>
                </c:pt>
                <c:pt idx="1">
                  <c:v>Mid-to-Late Career</c:v>
                </c:pt>
                <c:pt idx="2">
                  <c:v>Retirees</c:v>
                </c:pt>
                <c:pt idx="3">
                  <c:v>Students</c:v>
                </c:pt>
                <c:pt idx="4">
                  <c:v>Young Professionals</c:v>
                </c:pt>
              </c:strCache>
            </c:strRef>
          </c:cat>
          <c:val>
            <c:numRef>
              <c:f>'Q1'!$C$28:$C$33</c:f>
              <c:numCache>
                <c:formatCode>0.00%</c:formatCode>
                <c:ptCount val="5"/>
                <c:pt idx="0">
                  <c:v>0.20202020202020202</c:v>
                </c:pt>
                <c:pt idx="1">
                  <c:v>6.0606060606060608E-2</c:v>
                </c:pt>
                <c:pt idx="2">
                  <c:v>8.0808080808080815E-2</c:v>
                </c:pt>
                <c:pt idx="3">
                  <c:v>0.53872053872053871</c:v>
                </c:pt>
                <c:pt idx="4">
                  <c:v>0.11784511784511785</c:v>
                </c:pt>
              </c:numCache>
            </c:numRef>
          </c:val>
          <c:extLst>
            <c:ext xmlns:c16="http://schemas.microsoft.com/office/drawing/2014/chart" uri="{C3380CC4-5D6E-409C-BE32-E72D297353CC}">
              <c16:uniqueId val="{0000000A-97B4-46AE-8506-76C00E9BD63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 25.xlsx]Q2!PTable3</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 of</a:t>
            </a:r>
            <a:r>
              <a:rPr lang="en-US" sz="1600" baseline="0"/>
              <a:t> </a:t>
            </a:r>
            <a:r>
              <a:rPr lang="en-US" sz="1600"/>
              <a:t>Segments Monthly</a:t>
            </a:r>
            <a:r>
              <a:rPr lang="en-US" sz="1600" baseline="0"/>
              <a:t> Hours </a:t>
            </a:r>
            <a:endParaRPr lang="en-US" sz="1600"/>
          </a:p>
        </c:rich>
      </c:tx>
      <c:layout>
        <c:manualLayout>
          <c:xMode val="edge"/>
          <c:yMode val="edge"/>
          <c:x val="0.60577570260614988"/>
          <c:y val="3.294064330080639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342038173295103"/>
          <c:y val="0.16245804610958492"/>
          <c:w val="0.56137985640560928"/>
          <c:h val="0.65532584313048003"/>
        </c:manualLayout>
      </c:layout>
      <c:barChart>
        <c:barDir val="bar"/>
        <c:grouping val="clustered"/>
        <c:varyColors val="0"/>
        <c:ser>
          <c:idx val="0"/>
          <c:order val="0"/>
          <c:tx>
            <c:strRef>
              <c:f>'Q2'!$C$5</c:f>
              <c:strCache>
                <c:ptCount val="1"/>
                <c:pt idx="0">
                  <c:v>Total</c:v>
                </c:pt>
              </c:strCache>
            </c:strRef>
          </c:tx>
          <c:spPr>
            <a:solidFill>
              <a:schemeClr val="tx2">
                <a:lumMod val="75000"/>
                <a:lumOff val="25000"/>
              </a:schemeClr>
            </a:solidFill>
            <a:ln>
              <a:solidFill>
                <a:schemeClr val="tx1">
                  <a:lumMod val="50000"/>
                  <a:lumOff val="50000"/>
                </a:schemeClr>
              </a:solidFill>
            </a:ln>
            <a:effectLst/>
          </c:spPr>
          <c:invertIfNegative val="0"/>
          <c:cat>
            <c:multiLvlStrRef>
              <c:f>'Q2'!$B$6:$B$18</c:f>
              <c:multiLvlStrCache>
                <c:ptCount val="10"/>
                <c:lvl>
                  <c:pt idx="0">
                    <c:v>Homemakers</c:v>
                  </c:pt>
                  <c:pt idx="1">
                    <c:v>Mid-to-Late Career</c:v>
                  </c:pt>
                  <c:pt idx="2">
                    <c:v>Retirees</c:v>
                  </c:pt>
                  <c:pt idx="3">
                    <c:v>Students</c:v>
                  </c:pt>
                  <c:pt idx="4">
                    <c:v>Young Professionals</c:v>
                  </c:pt>
                  <c:pt idx="5">
                    <c:v>Homemakers</c:v>
                  </c:pt>
                  <c:pt idx="6">
                    <c:v>Mid-to-Late Career</c:v>
                  </c:pt>
                  <c:pt idx="7">
                    <c:v>Retirees</c:v>
                  </c:pt>
                  <c:pt idx="8">
                    <c:v>Students</c:v>
                  </c:pt>
                  <c:pt idx="9">
                    <c:v>Young Professionals</c:v>
                  </c:pt>
                </c:lvl>
                <c:lvl>
                  <c:pt idx="0">
                    <c:v>HC</c:v>
                  </c:pt>
                  <c:pt idx="5">
                    <c:v>NHC</c:v>
                  </c:pt>
                </c:lvl>
              </c:multiLvlStrCache>
            </c:multiLvlStrRef>
          </c:cat>
          <c:val>
            <c:numRef>
              <c:f>'Q2'!$C$6:$C$18</c:f>
              <c:numCache>
                <c:formatCode>0.0</c:formatCode>
                <c:ptCount val="10"/>
                <c:pt idx="0">
                  <c:v>3.8787878787878789</c:v>
                </c:pt>
                <c:pt idx="1">
                  <c:v>1.1111111111111112</c:v>
                </c:pt>
                <c:pt idx="2">
                  <c:v>5</c:v>
                </c:pt>
                <c:pt idx="3">
                  <c:v>3.9871794871794872</c:v>
                </c:pt>
                <c:pt idx="4">
                  <c:v>1.6326530612244898</c:v>
                </c:pt>
                <c:pt idx="5">
                  <c:v>4.0952380952380949</c:v>
                </c:pt>
                <c:pt idx="6">
                  <c:v>1.25</c:v>
                </c:pt>
                <c:pt idx="7">
                  <c:v>4.615384615384615</c:v>
                </c:pt>
                <c:pt idx="8">
                  <c:v>4.0081967213114753</c:v>
                </c:pt>
                <c:pt idx="9">
                  <c:v>1.25</c:v>
                </c:pt>
              </c:numCache>
            </c:numRef>
          </c:val>
          <c:extLst>
            <c:ext xmlns:c16="http://schemas.microsoft.com/office/drawing/2014/chart" uri="{C3380CC4-5D6E-409C-BE32-E72D297353CC}">
              <c16:uniqueId val="{00000000-25FC-4681-A87E-E16FB60330D6}"/>
            </c:ext>
          </c:extLst>
        </c:ser>
        <c:dLbls>
          <c:showLegendKey val="0"/>
          <c:showVal val="0"/>
          <c:showCatName val="0"/>
          <c:showSerName val="0"/>
          <c:showPercent val="0"/>
          <c:showBubbleSize val="0"/>
        </c:dLbls>
        <c:gapWidth val="182"/>
        <c:axId val="1262233439"/>
        <c:axId val="1262231519"/>
      </c:barChart>
      <c:catAx>
        <c:axId val="126223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2231519"/>
        <c:crosses val="autoZero"/>
        <c:auto val="1"/>
        <c:lblAlgn val="ctr"/>
        <c:lblOffset val="100"/>
        <c:noMultiLvlLbl val="0"/>
      </c:catAx>
      <c:valAx>
        <c:axId val="1262231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Average</a:t>
                </a:r>
                <a:r>
                  <a:rPr lang="en-US" sz="1100" baseline="0"/>
                  <a:t> Hours</a:t>
                </a:r>
                <a:endParaRPr lang="en-US" sz="1100"/>
              </a:p>
            </c:rich>
          </c:tx>
          <c:layout>
            <c:manualLayout>
              <c:xMode val="edge"/>
              <c:yMode val="edge"/>
              <c:x val="0.8819696627097019"/>
              <c:y val="0.8897150753824966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2233439"/>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25.xlsx]Q2!PTable4</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Cost of Acquisition Per</a:t>
            </a:r>
            <a:r>
              <a:rPr lang="en-US" sz="1600" baseline="0"/>
              <a:t> Segments</a:t>
            </a:r>
            <a:endParaRPr lang="en-US" sz="1600"/>
          </a:p>
        </c:rich>
      </c:tx>
      <c:layout>
        <c:manualLayout>
          <c:xMode val="edge"/>
          <c:yMode val="edge"/>
          <c:x val="0.66954799633914119"/>
          <c:y val="3.928621873278835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62182852143484"/>
          <c:y val="0.16865522018081072"/>
          <c:w val="0.56331474190726161"/>
          <c:h val="0.54195610965296004"/>
        </c:manualLayout>
      </c:layout>
      <c:barChart>
        <c:barDir val="bar"/>
        <c:grouping val="clustered"/>
        <c:varyColors val="0"/>
        <c:ser>
          <c:idx val="0"/>
          <c:order val="0"/>
          <c:tx>
            <c:strRef>
              <c:f>'Q2'!$C$33</c:f>
              <c:strCache>
                <c:ptCount val="1"/>
                <c:pt idx="0">
                  <c:v> HC Cost of Acquisition</c:v>
                </c:pt>
              </c:strCache>
            </c:strRef>
          </c:tx>
          <c:spPr>
            <a:solidFill>
              <a:schemeClr val="accent1">
                <a:shade val="76000"/>
              </a:schemeClr>
            </a:solidFill>
            <a:ln>
              <a:noFill/>
            </a:ln>
            <a:effectLst/>
          </c:spPr>
          <c:invertIfNegative val="0"/>
          <c:cat>
            <c:strRef>
              <c:f>'Q2'!$B$34:$B$39</c:f>
              <c:strCache>
                <c:ptCount val="5"/>
                <c:pt idx="0">
                  <c:v>Homemakers</c:v>
                </c:pt>
                <c:pt idx="1">
                  <c:v>Mid-to-Late Career</c:v>
                </c:pt>
                <c:pt idx="2">
                  <c:v>Retirees</c:v>
                </c:pt>
                <c:pt idx="3">
                  <c:v>Students</c:v>
                </c:pt>
                <c:pt idx="4">
                  <c:v>Young Professionals</c:v>
                </c:pt>
              </c:strCache>
            </c:strRef>
          </c:cat>
          <c:val>
            <c:numRef>
              <c:f>'Q2'!$C$34:$C$39</c:f>
              <c:numCache>
                <c:formatCode>General</c:formatCode>
                <c:ptCount val="5"/>
                <c:pt idx="0">
                  <c:v>51.5625</c:v>
                </c:pt>
                <c:pt idx="1">
                  <c:v>90</c:v>
                </c:pt>
                <c:pt idx="2">
                  <c:v>40</c:v>
                </c:pt>
                <c:pt idx="3">
                  <c:v>62.70096463022508</c:v>
                </c:pt>
                <c:pt idx="4">
                  <c:v>61.25</c:v>
                </c:pt>
              </c:numCache>
            </c:numRef>
          </c:val>
          <c:extLst>
            <c:ext xmlns:c16="http://schemas.microsoft.com/office/drawing/2014/chart" uri="{C3380CC4-5D6E-409C-BE32-E72D297353CC}">
              <c16:uniqueId val="{00000000-6C31-4C63-AC67-834843640B51}"/>
            </c:ext>
          </c:extLst>
        </c:ser>
        <c:ser>
          <c:idx val="1"/>
          <c:order val="1"/>
          <c:tx>
            <c:strRef>
              <c:f>'Q2'!$D$33</c:f>
              <c:strCache>
                <c:ptCount val="1"/>
                <c:pt idx="0">
                  <c:v> NHC Cost of Acquisition</c:v>
                </c:pt>
              </c:strCache>
            </c:strRef>
          </c:tx>
          <c:spPr>
            <a:solidFill>
              <a:schemeClr val="accent1">
                <a:tint val="77000"/>
              </a:schemeClr>
            </a:solidFill>
            <a:ln>
              <a:solidFill>
                <a:schemeClr val="tx2"/>
              </a:solidFill>
            </a:ln>
            <a:effectLst/>
          </c:spPr>
          <c:invertIfNegative val="0"/>
          <c:cat>
            <c:strRef>
              <c:f>'Q2'!$B$34:$B$39</c:f>
              <c:strCache>
                <c:ptCount val="5"/>
                <c:pt idx="0">
                  <c:v>Homemakers</c:v>
                </c:pt>
                <c:pt idx="1">
                  <c:v>Mid-to-Late Career</c:v>
                </c:pt>
                <c:pt idx="2">
                  <c:v>Retirees</c:v>
                </c:pt>
                <c:pt idx="3">
                  <c:v>Students</c:v>
                </c:pt>
                <c:pt idx="4">
                  <c:v>Young Professionals</c:v>
                </c:pt>
              </c:strCache>
            </c:strRef>
          </c:cat>
          <c:val>
            <c:numRef>
              <c:f>'Q2'!$D$34:$D$39</c:f>
              <c:numCache>
                <c:formatCode>_("$"* #,##0_);_("$"* \(#,##0\);_("$"* "-"??_);_(@_)</c:formatCode>
                <c:ptCount val="5"/>
                <c:pt idx="0">
                  <c:v>48.837209302325583</c:v>
                </c:pt>
                <c:pt idx="1">
                  <c:v>80</c:v>
                </c:pt>
                <c:pt idx="2">
                  <c:v>43.333333333333336</c:v>
                </c:pt>
                <c:pt idx="3">
                  <c:v>62.372188139059304</c:v>
                </c:pt>
                <c:pt idx="4">
                  <c:v>80</c:v>
                </c:pt>
              </c:numCache>
            </c:numRef>
          </c:val>
          <c:extLst>
            <c:ext xmlns:c16="http://schemas.microsoft.com/office/drawing/2014/chart" uri="{C3380CC4-5D6E-409C-BE32-E72D297353CC}">
              <c16:uniqueId val="{00000001-6C31-4C63-AC67-834843640B51}"/>
            </c:ext>
          </c:extLst>
        </c:ser>
        <c:dLbls>
          <c:showLegendKey val="0"/>
          <c:showVal val="0"/>
          <c:showCatName val="0"/>
          <c:showSerName val="0"/>
          <c:showPercent val="0"/>
          <c:showBubbleSize val="0"/>
        </c:dLbls>
        <c:gapWidth val="219"/>
        <c:axId val="1429259295"/>
        <c:axId val="1429257855"/>
      </c:barChart>
      <c:catAx>
        <c:axId val="142925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29257855"/>
        <c:crosses val="autoZero"/>
        <c:auto val="1"/>
        <c:lblAlgn val="ctr"/>
        <c:lblOffset val="100"/>
        <c:noMultiLvlLbl val="0"/>
      </c:catAx>
      <c:valAx>
        <c:axId val="1429257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Cost</a:t>
                </a:r>
                <a:r>
                  <a:rPr lang="en-US" sz="1100" baseline="0"/>
                  <a:t> (SAR)</a:t>
                </a:r>
                <a:endParaRPr lang="en-US" sz="1100"/>
              </a:p>
            </c:rich>
          </c:tx>
          <c:layout>
            <c:manualLayout>
              <c:xMode val="edge"/>
              <c:yMode val="edge"/>
              <c:x val="0.88941919375716083"/>
              <c:y val="0.790076230609084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29259295"/>
        <c:crosses val="autoZero"/>
        <c:crossBetween val="between"/>
      </c:valAx>
      <c:spPr>
        <a:noFill/>
        <a:ln>
          <a:noFill/>
        </a:ln>
        <a:effectLst/>
      </c:spPr>
    </c:plotArea>
    <c:legend>
      <c:legendPos val="b"/>
      <c:layout>
        <c:manualLayout>
          <c:xMode val="edge"/>
          <c:yMode val="edge"/>
          <c:x val="0.14272824672789189"/>
          <c:y val="0.79496694946347723"/>
          <c:w val="0.7757157865458173"/>
          <c:h val="0.1307157560993355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[CC 25.xlsx]Q3!PTable4</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Forecasted</a:t>
            </a:r>
            <a:r>
              <a:rPr lang="en-US" sz="1600" baseline="0"/>
              <a:t> and Gap Needed Hours</a:t>
            </a:r>
          </a:p>
        </c:rich>
      </c:tx>
      <c:layout>
        <c:manualLayout>
          <c:xMode val="edge"/>
          <c:yMode val="edge"/>
          <c:x val="0.65779410594093557"/>
          <c:y val="4.196039385097625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2913617039645"/>
          <c:y val="0.11276393271716394"/>
          <c:w val="0.76367105838727156"/>
          <c:h val="0.61937500423104708"/>
        </c:manualLayout>
      </c:layout>
      <c:barChart>
        <c:barDir val="col"/>
        <c:grouping val="clustered"/>
        <c:varyColors val="0"/>
        <c:ser>
          <c:idx val="0"/>
          <c:order val="0"/>
          <c:tx>
            <c:strRef>
              <c:f>'Q3'!$B$32</c:f>
              <c:strCache>
                <c:ptCount val="1"/>
                <c:pt idx="0">
                  <c:v>Sum of Forecasted Hours </c:v>
                </c:pt>
              </c:strCache>
            </c:strRef>
          </c:tx>
          <c:spPr>
            <a:solidFill>
              <a:schemeClr val="accent1">
                <a:shade val="76000"/>
              </a:schemeClr>
            </a:solidFill>
            <a:ln>
              <a:solidFill>
                <a:schemeClr val="tx2"/>
              </a:solidFill>
            </a:ln>
            <a:effectLst/>
          </c:spPr>
          <c:invertIfNegative val="0"/>
          <c:cat>
            <c:multiLvlStrRef>
              <c:f>'Q3'!$A$33:$A$38</c:f>
              <c:multiLvlStrCache>
                <c:ptCount val="3"/>
                <c:lvl>
                  <c:pt idx="0">
                    <c:v>Traind</c:v>
                  </c:pt>
                  <c:pt idx="1">
                    <c:v>RequiresTraining</c:v>
                  </c:pt>
                  <c:pt idx="2">
                    <c:v>Traind</c:v>
                  </c:pt>
                </c:lvl>
                <c:lvl>
                  <c:pt idx="0">
                    <c:v>Healthcare</c:v>
                  </c:pt>
                  <c:pt idx="1">
                    <c:v>Non-Healthcare</c:v>
                  </c:pt>
                </c:lvl>
              </c:multiLvlStrCache>
            </c:multiLvlStrRef>
          </c:cat>
          <c:val>
            <c:numRef>
              <c:f>'Q3'!$B$33:$B$38</c:f>
              <c:numCache>
                <c:formatCode>General</c:formatCode>
                <c:ptCount val="3"/>
                <c:pt idx="0">
                  <c:v>7000</c:v>
                </c:pt>
                <c:pt idx="1">
                  <c:v>3500</c:v>
                </c:pt>
                <c:pt idx="2">
                  <c:v>7000</c:v>
                </c:pt>
              </c:numCache>
            </c:numRef>
          </c:val>
          <c:extLst>
            <c:ext xmlns:c16="http://schemas.microsoft.com/office/drawing/2014/chart" uri="{C3380CC4-5D6E-409C-BE32-E72D297353CC}">
              <c16:uniqueId val="{00000000-F7CA-490A-B89B-9B9CB0449E1B}"/>
            </c:ext>
          </c:extLst>
        </c:ser>
        <c:ser>
          <c:idx val="1"/>
          <c:order val="1"/>
          <c:tx>
            <c:strRef>
              <c:f>'Q3'!$C$32</c:f>
              <c:strCache>
                <c:ptCount val="1"/>
                <c:pt idx="0">
                  <c:v>Sum of Gap</c:v>
                </c:pt>
              </c:strCache>
            </c:strRef>
          </c:tx>
          <c:spPr>
            <a:solidFill>
              <a:schemeClr val="accent1">
                <a:tint val="77000"/>
              </a:schemeClr>
            </a:solidFill>
            <a:ln>
              <a:solidFill>
                <a:schemeClr val="tx2"/>
              </a:solidFill>
            </a:ln>
            <a:effectLst/>
          </c:spPr>
          <c:invertIfNegative val="0"/>
          <c:cat>
            <c:multiLvlStrRef>
              <c:f>'Q3'!$A$33:$A$38</c:f>
              <c:multiLvlStrCache>
                <c:ptCount val="3"/>
                <c:lvl>
                  <c:pt idx="0">
                    <c:v>Traind</c:v>
                  </c:pt>
                  <c:pt idx="1">
                    <c:v>RequiresTraining</c:v>
                  </c:pt>
                  <c:pt idx="2">
                    <c:v>Traind</c:v>
                  </c:pt>
                </c:lvl>
                <c:lvl>
                  <c:pt idx="0">
                    <c:v>Healthcare</c:v>
                  </c:pt>
                  <c:pt idx="1">
                    <c:v>Non-Healthcare</c:v>
                  </c:pt>
                </c:lvl>
              </c:multiLvlStrCache>
            </c:multiLvlStrRef>
          </c:cat>
          <c:val>
            <c:numRef>
              <c:f>'Q3'!$C$33:$C$38</c:f>
              <c:numCache>
                <c:formatCode>#,##0</c:formatCode>
                <c:ptCount val="3"/>
                <c:pt idx="0">
                  <c:v>4530</c:v>
                </c:pt>
                <c:pt idx="1">
                  <c:v>2839</c:v>
                </c:pt>
                <c:pt idx="2">
                  <c:v>6447</c:v>
                </c:pt>
              </c:numCache>
            </c:numRef>
          </c:val>
          <c:extLst>
            <c:ext xmlns:c16="http://schemas.microsoft.com/office/drawing/2014/chart" uri="{C3380CC4-5D6E-409C-BE32-E72D297353CC}">
              <c16:uniqueId val="{00000001-F7CA-490A-B89B-9B9CB0449E1B}"/>
            </c:ext>
          </c:extLst>
        </c:ser>
        <c:dLbls>
          <c:showLegendKey val="0"/>
          <c:showVal val="0"/>
          <c:showCatName val="0"/>
          <c:showSerName val="0"/>
          <c:showPercent val="0"/>
          <c:showBubbleSize val="0"/>
        </c:dLbls>
        <c:gapWidth val="219"/>
        <c:overlap val="-27"/>
        <c:axId val="1635915520"/>
        <c:axId val="1635916480"/>
      </c:barChart>
      <c:catAx>
        <c:axId val="163591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35916480"/>
        <c:crosses val="autoZero"/>
        <c:auto val="1"/>
        <c:lblAlgn val="ctr"/>
        <c:lblOffset val="100"/>
        <c:noMultiLvlLbl val="0"/>
      </c:catAx>
      <c:valAx>
        <c:axId val="163591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35915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 25.xlsx]Q4!PTable5</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Satisfaction</a:t>
            </a:r>
            <a:r>
              <a:rPr lang="en-US" sz="1600" baseline="0"/>
              <a:t> Levels by Segamnts</a:t>
            </a:r>
          </a:p>
        </c:rich>
      </c:tx>
      <c:layout>
        <c:manualLayout>
          <c:xMode val="edge"/>
          <c:yMode val="edge"/>
          <c:x val="0.53971045473925161"/>
          <c:y val="2.8594977337942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'Q4'!$C$13</c:f>
              <c:strCache>
                <c:ptCount val="1"/>
                <c:pt idx="0">
                  <c:v>Total</c:v>
                </c:pt>
              </c:strCache>
            </c:strRef>
          </c:tx>
          <c:spPr>
            <a:solidFill>
              <a:schemeClr val="tx2">
                <a:lumMod val="75000"/>
                <a:lumOff val="25000"/>
              </a:schemeClr>
            </a:solidFill>
            <a:ln>
              <a:solidFill>
                <a:schemeClr val="tx2"/>
              </a:solidFill>
            </a:ln>
            <a:effectLst/>
          </c:spPr>
          <c:invertIfNegative val="0"/>
          <c:cat>
            <c:multiLvlStrRef>
              <c:f>'Q4'!$B$14:$B$22</c:f>
              <c:multiLvlStrCache>
                <c:ptCount val="5"/>
                <c:lvl>
                  <c:pt idx="0">
                    <c:v>Homemakers</c:v>
                  </c:pt>
                  <c:pt idx="1">
                    <c:v>Young Professionals</c:v>
                  </c:pt>
                  <c:pt idx="2">
                    <c:v>Students</c:v>
                  </c:pt>
                  <c:pt idx="3">
                    <c:v>Retirees</c:v>
                  </c:pt>
                  <c:pt idx="4">
                    <c:v>Mid-To-Late Career</c:v>
                  </c:pt>
                </c:lvl>
                <c:lvl>
                  <c:pt idx="0">
                    <c:v> High Satisfaction</c:v>
                  </c:pt>
                  <c:pt idx="2">
                    <c:v>Medium Satisfaction</c:v>
                  </c:pt>
                  <c:pt idx="4">
                    <c:v>Low Satisfaction</c:v>
                  </c:pt>
                </c:lvl>
              </c:multiLvlStrCache>
            </c:multiLvlStrRef>
          </c:cat>
          <c:val>
            <c:numRef>
              <c:f>'Q4'!$C$14:$C$22</c:f>
              <c:numCache>
                <c:formatCode>0%</c:formatCode>
                <c:ptCount val="5"/>
                <c:pt idx="0">
                  <c:v>0.95</c:v>
                </c:pt>
                <c:pt idx="1">
                  <c:v>0.91</c:v>
                </c:pt>
                <c:pt idx="2">
                  <c:v>0.89</c:v>
                </c:pt>
                <c:pt idx="3">
                  <c:v>0.88</c:v>
                </c:pt>
                <c:pt idx="4">
                  <c:v>0.74</c:v>
                </c:pt>
              </c:numCache>
            </c:numRef>
          </c:val>
          <c:extLst>
            <c:ext xmlns:c16="http://schemas.microsoft.com/office/drawing/2014/chart" uri="{C3380CC4-5D6E-409C-BE32-E72D297353CC}">
              <c16:uniqueId val="{00000000-6576-465A-8FC2-AF8F9C915D0D}"/>
            </c:ext>
          </c:extLst>
        </c:ser>
        <c:dLbls>
          <c:showLegendKey val="0"/>
          <c:showVal val="0"/>
          <c:showCatName val="0"/>
          <c:showSerName val="0"/>
          <c:showPercent val="0"/>
          <c:showBubbleSize val="0"/>
        </c:dLbls>
        <c:gapWidth val="230"/>
        <c:overlap val="-27"/>
        <c:axId val="1445901360"/>
        <c:axId val="1445901840"/>
      </c:barChart>
      <c:catAx>
        <c:axId val="144590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45901840"/>
        <c:crosses val="autoZero"/>
        <c:auto val="1"/>
        <c:lblAlgn val="ctr"/>
        <c:lblOffset val="100"/>
        <c:noMultiLvlLbl val="0"/>
      </c:catAx>
      <c:valAx>
        <c:axId val="144590184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45901360"/>
        <c:crosses val="autoZero"/>
        <c:crossBetween val="between"/>
        <c:majorUnit val="0.2"/>
        <c:minorUnit val="2.0000000000000004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13608</xdr:colOff>
      <xdr:row>1</xdr:row>
      <xdr:rowOff>13606</xdr:rowOff>
    </xdr:from>
    <xdr:to>
      <xdr:col>14</xdr:col>
      <xdr:colOff>123825</xdr:colOff>
      <xdr:row>23</xdr:row>
      <xdr:rowOff>8164</xdr:rowOff>
    </xdr:to>
    <xdr:graphicFrame macro="">
      <xdr:nvGraphicFramePr>
        <xdr:cNvPr id="36" name="Chart 1">
          <a:extLst>
            <a:ext uri="{FF2B5EF4-FFF2-40B4-BE49-F238E27FC236}">
              <a16:creationId xmlns:a16="http://schemas.microsoft.com/office/drawing/2014/main" id="{F769AF4A-A651-DB25-730C-05FF32E83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6802</xdr:colOff>
      <xdr:row>23</xdr:row>
      <xdr:rowOff>157633</xdr:rowOff>
    </xdr:from>
    <xdr:to>
      <xdr:col>11</xdr:col>
      <xdr:colOff>4187</xdr:colOff>
      <xdr:row>38</xdr:row>
      <xdr:rowOff>168519</xdr:rowOff>
    </xdr:to>
    <xdr:graphicFrame macro="">
      <xdr:nvGraphicFramePr>
        <xdr:cNvPr id="2" name="Chart 2">
          <a:extLst>
            <a:ext uri="{FF2B5EF4-FFF2-40B4-BE49-F238E27FC236}">
              <a16:creationId xmlns:a16="http://schemas.microsoft.com/office/drawing/2014/main" id="{8604ACCB-364A-E0BC-29EA-34AC62263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5159</xdr:colOff>
      <xdr:row>2</xdr:row>
      <xdr:rowOff>12456</xdr:rowOff>
    </xdr:from>
    <xdr:to>
      <xdr:col>9</xdr:col>
      <xdr:colOff>604837</xdr:colOff>
      <xdr:row>17</xdr:row>
      <xdr:rowOff>168672</xdr:rowOff>
    </xdr:to>
    <xdr:graphicFrame macro="">
      <xdr:nvGraphicFramePr>
        <xdr:cNvPr id="4" name="Chart 3">
          <a:extLst>
            <a:ext uri="{FF2B5EF4-FFF2-40B4-BE49-F238E27FC236}">
              <a16:creationId xmlns:a16="http://schemas.microsoft.com/office/drawing/2014/main" id="{B84776D4-C401-EF2B-48DE-BB506F5DA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501160</xdr:colOff>
      <xdr:row>31</xdr:row>
      <xdr:rowOff>179141</xdr:rowOff>
    </xdr:from>
    <xdr:to>
      <xdr:col>10</xdr:col>
      <xdr:colOff>6802</xdr:colOff>
      <xdr:row>47</xdr:row>
      <xdr:rowOff>182334</xdr:rowOff>
    </xdr:to>
    <xdr:graphicFrame macro="">
      <xdr:nvGraphicFramePr>
        <xdr:cNvPr id="3" name="Chart 4">
          <a:extLst>
            <a:ext uri="{FF2B5EF4-FFF2-40B4-BE49-F238E27FC236}">
              <a16:creationId xmlns:a16="http://schemas.microsoft.com/office/drawing/2014/main" id="{14C70EAD-D8A4-E31C-445F-32CEF0B63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866775</xdr:colOff>
      <xdr:row>13</xdr:row>
      <xdr:rowOff>176212</xdr:rowOff>
    </xdr:from>
    <xdr:to>
      <xdr:col>6</xdr:col>
      <xdr:colOff>361950</xdr:colOff>
      <xdr:row>27</xdr:row>
      <xdr:rowOff>138112</xdr:rowOff>
    </xdr:to>
    <xdr:graphicFrame macro="">
      <xdr:nvGraphicFramePr>
        <xdr:cNvPr id="70" name="Chart 1">
          <a:extLst>
            <a:ext uri="{FF2B5EF4-FFF2-40B4-BE49-F238E27FC236}">
              <a16:creationId xmlns:a16="http://schemas.microsoft.com/office/drawing/2014/main" id="{A94AD748-5E95-F7CD-C9D0-FCF9FB9D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22410</xdr:colOff>
      <xdr:row>38</xdr:row>
      <xdr:rowOff>180414</xdr:rowOff>
    </xdr:from>
    <xdr:to>
      <xdr:col>3</xdr:col>
      <xdr:colOff>1770530</xdr:colOff>
      <xdr:row>63</xdr:row>
      <xdr:rowOff>0</xdr:rowOff>
    </xdr:to>
    <xdr:graphicFrame macro="">
      <xdr:nvGraphicFramePr>
        <xdr:cNvPr id="6" name="Chart 5">
          <a:extLst>
            <a:ext uri="{FF2B5EF4-FFF2-40B4-BE49-F238E27FC236}">
              <a16:creationId xmlns:a16="http://schemas.microsoft.com/office/drawing/2014/main" id="{9A03B4D2-E94E-63BD-87D7-81776820A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564695</xdr:colOff>
      <xdr:row>11</xdr:row>
      <xdr:rowOff>187036</xdr:rowOff>
    </xdr:from>
    <xdr:to>
      <xdr:col>6</xdr:col>
      <xdr:colOff>692727</xdr:colOff>
      <xdr:row>38</xdr:row>
      <xdr:rowOff>0</xdr:rowOff>
    </xdr:to>
    <xdr:graphicFrame macro="">
      <xdr:nvGraphicFramePr>
        <xdr:cNvPr id="3" name="Chart 6">
          <a:extLst>
            <a:ext uri="{FF2B5EF4-FFF2-40B4-BE49-F238E27FC236}">
              <a16:creationId xmlns:a16="http://schemas.microsoft.com/office/drawing/2014/main" id="{1F633643-61D2-2438-21CA-F617D6EE8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xdr:colOff>
      <xdr:row>11</xdr:row>
      <xdr:rowOff>179294</xdr:rowOff>
    </xdr:from>
    <xdr:to>
      <xdr:col>21</xdr:col>
      <xdr:colOff>27214</xdr:colOff>
      <xdr:row>34</xdr:row>
      <xdr:rowOff>10566</xdr:rowOff>
    </xdr:to>
    <xdr:graphicFrame macro="">
      <xdr:nvGraphicFramePr>
        <xdr:cNvPr id="2" name="Chart 1">
          <a:extLst>
            <a:ext uri="{FF2B5EF4-FFF2-40B4-BE49-F238E27FC236}">
              <a16:creationId xmlns:a16="http://schemas.microsoft.com/office/drawing/2014/main" id="{AC317F01-C33A-4AC2-AAF4-2F74EC5A8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29543</xdr:colOff>
      <xdr:row>12</xdr:row>
      <xdr:rowOff>0</xdr:rowOff>
    </xdr:from>
    <xdr:to>
      <xdr:col>29</xdr:col>
      <xdr:colOff>13608</xdr:colOff>
      <xdr:row>34</xdr:row>
      <xdr:rowOff>23432</xdr:rowOff>
    </xdr:to>
    <xdr:graphicFrame macro="">
      <xdr:nvGraphicFramePr>
        <xdr:cNvPr id="3" name="Chart 2">
          <a:extLst>
            <a:ext uri="{FF2B5EF4-FFF2-40B4-BE49-F238E27FC236}">
              <a16:creationId xmlns:a16="http://schemas.microsoft.com/office/drawing/2014/main" id="{484A299D-9699-4B3D-B3F5-4F1C20F63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202942</xdr:colOff>
      <xdr:row>34</xdr:row>
      <xdr:rowOff>11206</xdr:rowOff>
    </xdr:from>
    <xdr:to>
      <xdr:col>29</xdr:col>
      <xdr:colOff>14845</xdr:colOff>
      <xdr:row>59</xdr:row>
      <xdr:rowOff>51955</xdr:rowOff>
    </xdr:to>
    <xdr:graphicFrame macro="">
      <xdr:nvGraphicFramePr>
        <xdr:cNvPr id="4" name="Chart 1">
          <a:extLst>
            <a:ext uri="{FF2B5EF4-FFF2-40B4-BE49-F238E27FC236}">
              <a16:creationId xmlns:a16="http://schemas.microsoft.com/office/drawing/2014/main" id="{A3F9C862-51F4-4A94-9952-C65A86F5C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13917</xdr:colOff>
      <xdr:row>12</xdr:row>
      <xdr:rowOff>309</xdr:rowOff>
    </xdr:from>
    <xdr:to>
      <xdr:col>43</xdr:col>
      <xdr:colOff>608919</xdr:colOff>
      <xdr:row>37</xdr:row>
      <xdr:rowOff>23813</xdr:rowOff>
    </xdr:to>
    <xdr:graphicFrame macro="">
      <xdr:nvGraphicFramePr>
        <xdr:cNvPr id="5" name="Chart 4">
          <a:extLst>
            <a:ext uri="{FF2B5EF4-FFF2-40B4-BE49-F238E27FC236}">
              <a16:creationId xmlns:a16="http://schemas.microsoft.com/office/drawing/2014/main" id="{B77D8DE2-92BA-45B9-AB20-C4D30A922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17317</xdr:colOff>
      <xdr:row>37</xdr:row>
      <xdr:rowOff>23813</xdr:rowOff>
    </xdr:from>
    <xdr:to>
      <xdr:col>44</xdr:col>
      <xdr:colOff>13607</xdr:colOff>
      <xdr:row>59</xdr:row>
      <xdr:rowOff>49027</xdr:rowOff>
    </xdr:to>
    <xdr:graphicFrame macro="">
      <xdr:nvGraphicFramePr>
        <xdr:cNvPr id="6" name="Chart 5">
          <a:extLst>
            <a:ext uri="{FF2B5EF4-FFF2-40B4-BE49-F238E27FC236}">
              <a16:creationId xmlns:a16="http://schemas.microsoft.com/office/drawing/2014/main" id="{FB31BED8-3A57-462E-A55B-E72D13A0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600178</xdr:colOff>
      <xdr:row>26</xdr:row>
      <xdr:rowOff>183550</xdr:rowOff>
    </xdr:from>
    <xdr:to>
      <xdr:col>6</xdr:col>
      <xdr:colOff>7318</xdr:colOff>
      <xdr:row>31</xdr:row>
      <xdr:rowOff>176893</xdr:rowOff>
    </xdr:to>
    <mc:AlternateContent xmlns:mc="http://schemas.openxmlformats.org/markup-compatibility/2006" xmlns:a14="http://schemas.microsoft.com/office/drawing/2010/main">
      <mc:Choice Requires="a14">
        <xdr:graphicFrame macro="">
          <xdr:nvGraphicFramePr>
            <xdr:cNvPr id="7" name="Category ( HC , NHC)">
              <a:extLst>
                <a:ext uri="{FF2B5EF4-FFF2-40B4-BE49-F238E27FC236}">
                  <a16:creationId xmlns:a16="http://schemas.microsoft.com/office/drawing/2014/main" id="{7A204AB4-E723-C915-ED65-347457AF6B1B}"/>
                </a:ext>
              </a:extLst>
            </xdr:cNvPr>
            <xdr:cNvGraphicFramePr/>
          </xdr:nvGraphicFramePr>
          <xdr:xfrm>
            <a:off x="0" y="0"/>
            <a:ext cx="0" cy="0"/>
          </xdr:xfrm>
          <a:graphic>
            <a:graphicData uri="http://schemas.microsoft.com/office/drawing/2010/slicer">
              <sle:slicer xmlns:sle="http://schemas.microsoft.com/office/drawing/2010/slicer" name="Category ( HC , NHC)"/>
            </a:graphicData>
          </a:graphic>
        </xdr:graphicFrame>
      </mc:Choice>
      <mc:Fallback xmlns="">
        <xdr:sp macro="" textlink="">
          <xdr:nvSpPr>
            <xdr:cNvPr id="0" name=""/>
            <xdr:cNvSpPr>
              <a:spLocks noTextEdit="1"/>
            </xdr:cNvSpPr>
          </xdr:nvSpPr>
          <xdr:spPr>
            <a:xfrm>
              <a:off x="1806678" y="5168300"/>
              <a:ext cx="1820140" cy="945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598714</xdr:colOff>
      <xdr:row>32</xdr:row>
      <xdr:rowOff>5713</xdr:rowOff>
    </xdr:from>
    <xdr:to>
      <xdr:col>6</xdr:col>
      <xdr:colOff>5856</xdr:colOff>
      <xdr:row>36</xdr:row>
      <xdr:rowOff>176892</xdr:rowOff>
    </xdr:to>
    <mc:AlternateContent xmlns:mc="http://schemas.openxmlformats.org/markup-compatibility/2006" xmlns:a14="http://schemas.microsoft.com/office/drawing/2010/main">
      <mc:Choice Requires="a14">
        <xdr:graphicFrame macro="">
          <xdr:nvGraphicFramePr>
            <xdr:cNvPr id="8" name="Category ( traind , Requires Training) ">
              <a:extLst>
                <a:ext uri="{FF2B5EF4-FFF2-40B4-BE49-F238E27FC236}">
                  <a16:creationId xmlns:a16="http://schemas.microsoft.com/office/drawing/2014/main" id="{A1862FA2-467E-0D5C-495E-26B4CDB59947}"/>
                </a:ext>
              </a:extLst>
            </xdr:cNvPr>
            <xdr:cNvGraphicFramePr/>
          </xdr:nvGraphicFramePr>
          <xdr:xfrm>
            <a:off x="0" y="0"/>
            <a:ext cx="0" cy="0"/>
          </xdr:xfrm>
          <a:graphic>
            <a:graphicData uri="http://schemas.microsoft.com/office/drawing/2010/slicer">
              <sle:slicer xmlns:sle="http://schemas.microsoft.com/office/drawing/2010/slicer" name="Category ( traind , Requires Training) "/>
            </a:graphicData>
          </a:graphic>
        </xdr:graphicFrame>
      </mc:Choice>
      <mc:Fallback xmlns="">
        <xdr:sp macro="" textlink="">
          <xdr:nvSpPr>
            <xdr:cNvPr id="0" name=""/>
            <xdr:cNvSpPr>
              <a:spLocks noTextEdit="1"/>
            </xdr:cNvSpPr>
          </xdr:nvSpPr>
          <xdr:spPr>
            <a:xfrm>
              <a:off x="1805214" y="6133463"/>
              <a:ext cx="1820142" cy="93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599521</xdr:colOff>
      <xdr:row>11</xdr:row>
      <xdr:rowOff>179549</xdr:rowOff>
    </xdr:from>
    <xdr:to>
      <xdr:col>6</xdr:col>
      <xdr:colOff>6661</xdr:colOff>
      <xdr:row>21</xdr:row>
      <xdr:rowOff>176893</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2FD7B385-E681-3B7A-84AA-265E81FE3F2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06021" y="2306799"/>
              <a:ext cx="1820140" cy="1902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596313</xdr:colOff>
      <xdr:row>22</xdr:row>
      <xdr:rowOff>2800</xdr:rowOff>
    </xdr:from>
    <xdr:to>
      <xdr:col>6</xdr:col>
      <xdr:colOff>6510</xdr:colOff>
      <xdr:row>26</xdr:row>
      <xdr:rowOff>190499</xdr:rowOff>
    </xdr:to>
    <mc:AlternateContent xmlns:mc="http://schemas.openxmlformats.org/markup-compatibility/2006" xmlns:a14="http://schemas.microsoft.com/office/drawing/2010/main">
      <mc:Choice Requires="a14">
        <xdr:graphicFrame macro="">
          <xdr:nvGraphicFramePr>
            <xdr:cNvPr id="13" name="HC Background">
              <a:extLst>
                <a:ext uri="{FF2B5EF4-FFF2-40B4-BE49-F238E27FC236}">
                  <a16:creationId xmlns:a16="http://schemas.microsoft.com/office/drawing/2014/main" id="{85DF07F3-4ABD-8DCE-5DBD-DBA4B0396306}"/>
                </a:ext>
              </a:extLst>
            </xdr:cNvPr>
            <xdr:cNvGraphicFramePr/>
          </xdr:nvGraphicFramePr>
          <xdr:xfrm>
            <a:off x="0" y="0"/>
            <a:ext cx="0" cy="0"/>
          </xdr:xfrm>
          <a:graphic>
            <a:graphicData uri="http://schemas.microsoft.com/office/drawing/2010/slicer">
              <sle:slicer xmlns:sle="http://schemas.microsoft.com/office/drawing/2010/slicer" name="HC Background"/>
            </a:graphicData>
          </a:graphic>
        </xdr:graphicFrame>
      </mc:Choice>
      <mc:Fallback xmlns="">
        <xdr:sp macro="" textlink="">
          <xdr:nvSpPr>
            <xdr:cNvPr id="0" name=""/>
            <xdr:cNvSpPr>
              <a:spLocks noTextEdit="1"/>
            </xdr:cNvSpPr>
          </xdr:nvSpPr>
          <xdr:spPr>
            <a:xfrm>
              <a:off x="1802813" y="4225550"/>
              <a:ext cx="1823197" cy="94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13606</xdr:colOff>
      <xdr:row>34</xdr:row>
      <xdr:rowOff>0</xdr:rowOff>
    </xdr:from>
    <xdr:to>
      <xdr:col>16</xdr:col>
      <xdr:colOff>217713</xdr:colOff>
      <xdr:row>59</xdr:row>
      <xdr:rowOff>57892</xdr:rowOff>
    </xdr:to>
    <xdr:graphicFrame macro="">
      <xdr:nvGraphicFramePr>
        <xdr:cNvPr id="12" name="Chart 11">
          <a:extLst>
            <a:ext uri="{FF2B5EF4-FFF2-40B4-BE49-F238E27FC236}">
              <a16:creationId xmlns:a16="http://schemas.microsoft.com/office/drawing/2014/main" id="{3F504CA3-A6B1-4528-8189-36019E313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6350</xdr:colOff>
      <xdr:row>47</xdr:row>
      <xdr:rowOff>40820</xdr:rowOff>
    </xdr:from>
    <xdr:to>
      <xdr:col>5</xdr:col>
      <xdr:colOff>601436</xdr:colOff>
      <xdr:row>53</xdr:row>
      <xdr:rowOff>142875</xdr:rowOff>
    </xdr:to>
    <mc:AlternateContent xmlns:mc="http://schemas.openxmlformats.org/markup-compatibility/2006" xmlns:a14="http://schemas.microsoft.com/office/drawing/2010/main">
      <mc:Choice Requires="a14">
        <xdr:graphicFrame macro="">
          <xdr:nvGraphicFramePr>
            <xdr:cNvPr id="16" name="Satisfaction  level">
              <a:extLst>
                <a:ext uri="{FF2B5EF4-FFF2-40B4-BE49-F238E27FC236}">
                  <a16:creationId xmlns:a16="http://schemas.microsoft.com/office/drawing/2014/main" id="{238449CC-E152-2E7D-945C-1EBED0A96111}"/>
                </a:ext>
              </a:extLst>
            </xdr:cNvPr>
            <xdr:cNvGraphicFramePr/>
          </xdr:nvGraphicFramePr>
          <xdr:xfrm>
            <a:off x="0" y="0"/>
            <a:ext cx="0" cy="0"/>
          </xdr:xfrm>
          <a:graphic>
            <a:graphicData uri="http://schemas.microsoft.com/office/drawing/2010/slicer">
              <sle:slicer xmlns:sle="http://schemas.microsoft.com/office/drawing/2010/slicer" name="Satisfaction  level"/>
            </a:graphicData>
          </a:graphic>
        </xdr:graphicFrame>
      </mc:Choice>
      <mc:Fallback xmlns="">
        <xdr:sp macro="" textlink="">
          <xdr:nvSpPr>
            <xdr:cNvPr id="0" name=""/>
            <xdr:cNvSpPr>
              <a:spLocks noTextEdit="1"/>
            </xdr:cNvSpPr>
          </xdr:nvSpPr>
          <xdr:spPr>
            <a:xfrm>
              <a:off x="1816100" y="9026070"/>
              <a:ext cx="1801586" cy="1245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xdr:colOff>
      <xdr:row>36</xdr:row>
      <xdr:rowOff>176892</xdr:rowOff>
    </xdr:from>
    <xdr:to>
      <xdr:col>6</xdr:col>
      <xdr:colOff>908</xdr:colOff>
      <xdr:row>47</xdr:row>
      <xdr:rowOff>27214</xdr:rowOff>
    </xdr:to>
    <mc:AlternateContent xmlns:mc="http://schemas.openxmlformats.org/markup-compatibility/2006" xmlns:a14="http://schemas.microsoft.com/office/drawing/2010/main">
      <mc:Choice Requires="a14">
        <xdr:graphicFrame macro="">
          <xdr:nvGraphicFramePr>
            <xdr:cNvPr id="17" name="Priority ">
              <a:extLst>
                <a:ext uri="{FF2B5EF4-FFF2-40B4-BE49-F238E27FC236}">
                  <a16:creationId xmlns:a16="http://schemas.microsoft.com/office/drawing/2014/main" id="{CC89DA96-9191-B65E-60B4-D85250F2C039}"/>
                </a:ext>
              </a:extLst>
            </xdr:cNvPr>
            <xdr:cNvGraphicFramePr/>
          </xdr:nvGraphicFramePr>
          <xdr:xfrm>
            <a:off x="0" y="0"/>
            <a:ext cx="0" cy="0"/>
          </xdr:xfrm>
          <a:graphic>
            <a:graphicData uri="http://schemas.microsoft.com/office/drawing/2010/slicer">
              <sle:slicer xmlns:sle="http://schemas.microsoft.com/office/drawing/2010/slicer" name="Priority "/>
            </a:graphicData>
          </a:graphic>
        </xdr:graphicFrame>
      </mc:Choice>
      <mc:Fallback xmlns="">
        <xdr:sp macro="" textlink="">
          <xdr:nvSpPr>
            <xdr:cNvPr id="0" name=""/>
            <xdr:cNvSpPr>
              <a:spLocks noTextEdit="1"/>
            </xdr:cNvSpPr>
          </xdr:nvSpPr>
          <xdr:spPr>
            <a:xfrm>
              <a:off x="1809751" y="7066642"/>
              <a:ext cx="1810657" cy="1945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xdr:colOff>
      <xdr:row>53</xdr:row>
      <xdr:rowOff>98425</xdr:rowOff>
    </xdr:from>
    <xdr:to>
      <xdr:col>6</xdr:col>
      <xdr:colOff>34925</xdr:colOff>
      <xdr:row>59</xdr:row>
      <xdr:rowOff>63500</xdr:rowOff>
    </xdr:to>
    <mc:AlternateContent xmlns:mc="http://schemas.openxmlformats.org/markup-compatibility/2006" xmlns:a14="http://schemas.microsoft.com/office/drawing/2010/main">
      <mc:Choice Requires="a14">
        <xdr:graphicFrame macro="">
          <xdr:nvGraphicFramePr>
            <xdr:cNvPr id="20" name="Segments ">
              <a:extLst>
                <a:ext uri="{FF2B5EF4-FFF2-40B4-BE49-F238E27FC236}">
                  <a16:creationId xmlns:a16="http://schemas.microsoft.com/office/drawing/2014/main" id="{F4243CE5-9BC6-D81D-BDFB-EE8605A2EAF5}"/>
                </a:ext>
              </a:extLst>
            </xdr:cNvPr>
            <xdr:cNvGraphicFramePr/>
          </xdr:nvGraphicFramePr>
          <xdr:xfrm>
            <a:off x="0" y="0"/>
            <a:ext cx="0" cy="0"/>
          </xdr:xfrm>
          <a:graphic>
            <a:graphicData uri="http://schemas.microsoft.com/office/drawing/2010/slicer">
              <sle:slicer xmlns:sle="http://schemas.microsoft.com/office/drawing/2010/slicer" name="Segments "/>
            </a:graphicData>
          </a:graphic>
        </xdr:graphicFrame>
      </mc:Choice>
      <mc:Fallback xmlns="">
        <xdr:sp macro="" textlink="">
          <xdr:nvSpPr>
            <xdr:cNvPr id="0" name=""/>
            <xdr:cNvSpPr>
              <a:spLocks noTextEdit="1"/>
            </xdr:cNvSpPr>
          </xdr:nvSpPr>
          <xdr:spPr>
            <a:xfrm>
              <a:off x="1825625" y="10226675"/>
              <a:ext cx="1828800" cy="1108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20250914_Aramco%20Consulting%20Championship_Round%201_v.1.0.0.xlsx" TargetMode="External"/><Relationship Id="rId1" Type="http://schemas.openxmlformats.org/officeDocument/2006/relationships/externalLinkPath" Target="20250914_Aramco%20Consulting%20Championship_Round%201_v.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Volunteer Data Set"/>
      <sheetName val="Forecasted Volunteer Hours"/>
      <sheetName val="Marketing Information"/>
    </sheetNames>
    <sheetDataSet>
      <sheetData sheetId="0"/>
      <sheetData sheetId="1"/>
      <sheetData sheetId="2">
        <row r="6">
          <cell r="D6" t="str">
            <v>Yes</v>
          </cell>
          <cell r="E6" t="str">
            <v>No</v>
          </cell>
        </row>
        <row r="7">
          <cell r="D7" t="str">
            <v>Yes</v>
          </cell>
          <cell r="E7" t="str">
            <v>No</v>
          </cell>
        </row>
        <row r="8">
          <cell r="D8" t="str">
            <v>Yes</v>
          </cell>
          <cell r="E8" t="str">
            <v>No</v>
          </cell>
        </row>
        <row r="9">
          <cell r="D9" t="str">
            <v>No</v>
          </cell>
          <cell r="E9" t="str">
            <v>Yes</v>
          </cell>
        </row>
        <row r="10">
          <cell r="D10" t="str">
            <v>No</v>
          </cell>
          <cell r="E10" t="str">
            <v>Yes</v>
          </cell>
        </row>
        <row r="11">
          <cell r="D11" t="str">
            <v>No</v>
          </cell>
          <cell r="E11" t="str">
            <v>Yes</v>
          </cell>
        </row>
        <row r="12">
          <cell r="D12" t="str">
            <v>No</v>
          </cell>
          <cell r="E12" t="str">
            <v>Yes</v>
          </cell>
        </row>
        <row r="13">
          <cell r="D13" t="str">
            <v>No</v>
          </cell>
          <cell r="E13" t="str">
            <v>No</v>
          </cell>
        </row>
        <row r="14">
          <cell r="D14" t="str">
            <v>No</v>
          </cell>
          <cell r="E14" t="str">
            <v>No</v>
          </cell>
        </row>
        <row r="15">
          <cell r="D15" t="str">
            <v>No</v>
          </cell>
          <cell r="E15" t="str">
            <v>No</v>
          </cell>
        </row>
      </sheetData>
      <sheetData sheetId="3">
        <row r="5">
          <cell r="B5" t="str">
            <v>University Partnership Outreach</v>
          </cell>
          <cell r="C5">
            <v>250</v>
          </cell>
        </row>
        <row r="6">
          <cell r="B6" t="str">
            <v>Online Marketing</v>
          </cell>
          <cell r="C6">
            <v>100</v>
          </cell>
        </row>
        <row r="7">
          <cell r="B7" t="str">
            <v>In-person Outreach</v>
          </cell>
          <cell r="C7">
            <v>200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2.007120949071" createdVersion="8" refreshedVersion="8" minRefreshableVersion="3" recordCount="10" xr:uid="{76988749-3FBF-460C-9749-65D81747B3C5}">
  <cacheSource type="worksheet">
    <worksheetSource name="tbl3A"/>
  </cacheSource>
  <cacheFields count="6">
    <cacheField name=" Roles" numFmtId="0">
      <sharedItems/>
    </cacheField>
    <cacheField name="Forecasted Monthly Hours" numFmtId="0">
      <sharedItems containsSemiMixedTypes="0" containsString="0" containsNumber="1" containsInteger="1" minValue="400" maxValue="3500"/>
    </cacheField>
    <cacheField name="Requires Healthcare Background" numFmtId="0">
      <sharedItems/>
    </cacheField>
    <cacheField name="Requires Training" numFmtId="0">
      <sharedItems/>
    </cacheField>
    <cacheField name="Category ( HC , NHC)" numFmtId="0">
      <sharedItems count="2">
        <s v="Healthcare"/>
        <s v="Non-Healthcare"/>
      </sharedItems>
    </cacheField>
    <cacheField name="Category ( traind , Requires Training) " numFmtId="0">
      <sharedItems count="2">
        <s v="Traind"/>
        <s v="RequiresTrainin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024945138888" createdVersion="8" refreshedVersion="8" minRefreshableVersion="3" recordCount="207" xr:uid="{E647FF1D-BB8C-420A-9640-3253362F5BCA}">
  <cacheSource type="worksheet">
    <worksheetSource ref="F16:G223" sheet="Table sheet for question 3"/>
  </cacheSource>
  <cacheFields count="2">
    <cacheField name="Sector" numFmtId="0">
      <sharedItems count="8">
        <s v="Law, Governance &amp; Public Policy"/>
        <s v="Natural Sciences &amp; Environment"/>
        <s v="Information Technology &amp; Computer Science"/>
        <s v="Arts, Media &amp; Communications"/>
        <s v="Engineering &amp; Manufacturing"/>
        <s v="Trades &amp; Technical Services"/>
        <s v="Business, Finance &amp; Management"/>
        <s v="Hospitality, Tourism &amp; Services"/>
      </sharedItems>
    </cacheField>
    <cacheField name="Average Monthly Hours"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028509837961" createdVersion="8" refreshedVersion="8" minRefreshableVersion="3" recordCount="282" xr:uid="{43F54AB2-64BA-41E5-AFD2-69D984A35CC3}">
  <cacheSource type="worksheet">
    <worksheetSource ref="I51:J333" sheet="Table sheet for question 3"/>
  </cacheSource>
  <cacheFields count="2">
    <cacheField name="Sector" numFmtId="0">
      <sharedItems count="10">
        <s v="Law, Governance &amp; Public Policy"/>
        <s v="Natural Sciences &amp; Environment"/>
        <s v="Information Technology &amp; Computer Science"/>
        <s v="Healthcare &amp; Life Sciences"/>
        <s v="Arts, Media &amp; Communications"/>
        <s v="Engineering &amp; Manufacturing"/>
        <s v="Trades &amp; Technical Services"/>
        <s v="Business, Finance &amp; Management"/>
        <s v="Education &amp; Training"/>
        <s v="Hospitality, Tourism &amp; Services"/>
      </sharedItems>
    </cacheField>
    <cacheField name="Average Monthly Hours"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030535879632" createdVersion="8" refreshedVersion="8" minRefreshableVersion="3" recordCount="218" xr:uid="{6E1F696F-7700-4BAD-8727-4BC7C33C254C}">
  <cacheSource type="worksheet">
    <worksheetSource ref="G341:H559" sheet="Table sheet for question 3"/>
  </cacheSource>
  <cacheFields count="2">
    <cacheField name="Sector" numFmtId="0">
      <sharedItems count="10">
        <s v="Healthcare &amp; Life Sciences"/>
        <s v="Education &amp; Training"/>
        <s v="Trades &amp; Technical Services"/>
        <s v="Arts, Media &amp; Communications"/>
        <s v="Engineering &amp; Manufacturing"/>
        <s v="Information Technology &amp; Computer Science"/>
        <s v="Law, Governance &amp; Public Policy"/>
        <s v="Natural Sciences &amp; Environment"/>
        <s v="Business, Finance &amp; Management"/>
        <s v="Hospitality, Tourism &amp; Services"/>
      </sharedItems>
    </cacheField>
    <cacheField name="Average Monthly Hours" numFmtId="0">
      <sharedItems containsSemiMixedTypes="0" containsString="0" containsNumber="1" containsInteger="1" minValue="0" maxValue="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051245717594" createdVersion="8" refreshedVersion="8" minRefreshableVersion="3" recordCount="500" xr:uid="{B2930A51-5E76-40AE-BE74-1727211BC90A}">
  <cacheSource type="worksheet">
    <worksheetSource name="SCH_tbl"/>
  </cacheSource>
  <cacheFields count="2">
    <cacheField name="Sector" numFmtId="0">
      <sharedItems count="10">
        <s v="Law, Governance &amp; Public Policy"/>
        <s v="Healthcare &amp; Life Sciences"/>
        <s v="Natural Sciences &amp; Environment"/>
        <s v="Education &amp; Training"/>
        <s v="Information Technology &amp; Computer Science"/>
        <s v="Trades &amp; Technical Services"/>
        <s v="Arts, Media &amp; Communications"/>
        <s v="Engineering &amp; Manufacturing"/>
        <s v="Business, Finance &amp; Management"/>
        <s v="Hospitality, Tourism &amp; Services"/>
      </sharedItems>
    </cacheField>
    <cacheField name="Average Monthly Hours"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132738657405" createdVersion="8" refreshedVersion="8" minRefreshableVersion="3" recordCount="10" xr:uid="{A17F3AC4-A549-45E7-93E5-54A17BDB7B94}">
  <cacheSource type="worksheet">
    <worksheetSource ref="Q22:R32" sheet="Q3"/>
  </cacheSource>
  <cacheFields count="9">
    <cacheField name=" Roles" numFmtId="0">
      <sharedItems/>
    </cacheField>
    <cacheField name="Forecasted Hours " numFmtId="0">
      <sharedItems containsSemiMixedTypes="0" containsString="0" containsNumber="1" containsInteger="1" minValue="400" maxValue="3500"/>
    </cacheField>
    <cacheField name="Sectors " numFmtId="0">
      <sharedItems/>
    </cacheField>
    <cacheField name="Requires Healthcare Background" numFmtId="0">
      <sharedItems/>
    </cacheField>
    <cacheField name="Requires Training" numFmtId="0">
      <sharedItems/>
    </cacheField>
    <cacheField name="Category ( HC , NHC)" numFmtId="0">
      <sharedItems count="2">
        <s v="Healthcare"/>
        <s v="Non-Healthcare"/>
      </sharedItems>
    </cacheField>
    <cacheField name="Category ( traind , Requires Training) " numFmtId="0">
      <sharedItems count="2">
        <s v="Traind"/>
        <s v="RequiresTraining"/>
      </sharedItems>
    </cacheField>
    <cacheField name="Current Hours " numFmtId="0">
      <sharedItems containsSemiMixedTypes="0" containsString="0" containsNumber="1" containsInteger="1" minValue="126" maxValue="874"/>
    </cacheField>
    <cacheField name="Gap" numFmtId="3">
      <sharedItems containsSemiMixedTypes="0" containsString="0" containsNumber="1" containsInteger="1" minValue="216" maxValue="2735" count="10">
        <n v="2735"/>
        <n v="1169"/>
        <n v="626"/>
        <n v="1316"/>
        <n v="874"/>
        <n v="433"/>
        <n v="216"/>
        <n v="2261"/>
        <n v="1832"/>
        <n v="2354"/>
      </sharedItems>
    </cacheField>
  </cacheFields>
  <extLst>
    <ext xmlns:x14="http://schemas.microsoft.com/office/spreadsheetml/2009/9/main" uri="{725AE2AE-9491-48be-B2B4-4EB974FC3084}">
      <x14:pivotCacheDefinition pivotCacheId="22866131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een Abdulaziz" refreshedDate="45943.707544907411" createdVersion="8" refreshedVersion="8" minRefreshableVersion="3" recordCount="500" xr:uid="{0A5DD952-8866-476F-9F5C-E4A4F6B4D948}">
  <cacheSource type="worksheet">
    <worksheetSource name="Table18"/>
  </cacheSource>
  <cacheFields count="11">
    <cacheField name="Volunteer ID" numFmtId="0">
      <sharedItems/>
    </cacheField>
    <cacheField name="Age" numFmtId="0">
      <sharedItems containsSemiMixedTypes="0" containsString="0" containsNumber="1" containsInteger="1" minValue="18" maxValue="75"/>
    </cacheField>
    <cacheField name="Career Status" numFmtId="0">
      <sharedItems/>
    </cacheField>
    <cacheField name="Years of Work Experience" numFmtId="0">
      <sharedItems containsSemiMixedTypes="0" containsString="0" containsNumber="1" containsInteger="1" minValue="0" maxValue="40"/>
    </cacheField>
    <cacheField name="Sector" numFmtId="0">
      <sharedItems/>
    </cacheField>
    <cacheField name="Average Monthly Hours" numFmtId="0">
      <sharedItems containsSemiMixedTypes="0" containsString="0" containsNumber="1" containsInteger="1" minValue="0" maxValue="7"/>
    </cacheField>
    <cacheField name="Has Training" numFmtId="0">
      <sharedItems/>
    </cacheField>
    <cacheField name="Marketing Outreach" numFmtId="0">
      <sharedItems/>
    </cacheField>
    <cacheField name="Satisfaction Score (%)" numFmtId="0">
      <sharedItems containsSemiMixedTypes="0" containsString="0" containsNumber="1" containsInteger="1" minValue="67" maxValue="98" count="24">
        <n v="71"/>
        <n v="89"/>
        <n v="72"/>
        <n v="86"/>
        <n v="88"/>
        <n v="67"/>
        <n v="93"/>
        <n v="98"/>
        <n v="91"/>
        <n v="84"/>
        <n v="87"/>
        <n v="68"/>
        <n v="95"/>
        <n v="94"/>
        <n v="97"/>
        <n v="90"/>
        <n v="69"/>
        <n v="96"/>
        <n v="92"/>
        <n v="82"/>
        <n v="83"/>
        <n v="85"/>
        <n v="70"/>
        <n v="73"/>
      </sharedItems>
    </cacheField>
    <cacheField name="Segment" numFmtId="0">
      <sharedItems count="5">
        <s v="Mid-to-Late Career"/>
        <s v="Students"/>
        <s v="Homemakers"/>
        <s v="Retirees"/>
        <s v="Young Professionals"/>
      </sharedItems>
    </cacheField>
    <cacheField name="HC Background" numFmtId="0">
      <sharedItems count="2">
        <s v="NHC"/>
        <s v="HC"/>
      </sharedItems>
    </cacheField>
  </cacheFields>
  <extLst>
    <ext xmlns:x14="http://schemas.microsoft.com/office/spreadsheetml/2009/9/main" uri="{725AE2AE-9491-48be-B2B4-4EB974FC3084}">
      <x14:pivotCacheDefinition pivotCacheId="109641227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4.64218761574" createdVersion="8" refreshedVersion="8" minRefreshableVersion="3" recordCount="5" xr:uid="{B1CFC6E1-D1D3-41D5-ACA0-2E8E24825E30}">
  <cacheSource type="worksheet">
    <worksheetSource name="Table8"/>
  </cacheSource>
  <cacheFields count="5">
    <cacheField name="Segments " numFmtId="0">
      <sharedItems count="5">
        <s v="Homemakers"/>
        <s v="Mid-to-Late Career"/>
        <s v="Retirees"/>
        <s v="Students"/>
        <s v="Young Professionals"/>
      </sharedItems>
    </cacheField>
    <cacheField name="Outreach Type" numFmtId="0">
      <sharedItems count="3">
        <s v="In-person Outreach"/>
        <s v="Online Marketing"/>
        <s v="University Partnership Outreach"/>
      </sharedItems>
    </cacheField>
    <cacheField name="Cost of Acquisition  (SAR)" numFmtId="0">
      <sharedItems containsSemiMixedTypes="0" containsString="0" containsNumber="1" containsInteger="1" minValue="100" maxValue="250"/>
    </cacheField>
    <cacheField name="HC Cost of Acquisition" numFmtId="1">
      <sharedItems containsSemiMixedTypes="0" containsString="0" containsNumber="1" minValue="40" maxValue="90" count="5">
        <n v="51.5625"/>
        <n v="90"/>
        <n v="40"/>
        <n v="62.70096463022508"/>
        <n v="61.25"/>
      </sharedItems>
    </cacheField>
    <cacheField name="NHC Cost of Acquisition" numFmtId="1">
      <sharedItems containsSemiMixedTypes="0" containsString="0" containsNumber="1" minValue="43.333333333333336" maxValue="80" count="4">
        <n v="48.837209302325583"/>
        <n v="80"/>
        <n v="43.333333333333336"/>
        <n v="62.372188139059304"/>
      </sharedItems>
    </cacheField>
  </cacheFields>
  <extLst>
    <ext xmlns:x14="http://schemas.microsoft.com/office/spreadsheetml/2009/9/main" uri="{725AE2AE-9491-48be-B2B4-4EB974FC3084}">
      <x14:pivotCacheDefinition pivotCacheId="1314703912"/>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4.84031446759" createdVersion="8" refreshedVersion="8" minRefreshableVersion="3" recordCount="5" xr:uid="{E559760A-4843-4A2F-9EEB-E2C4DC86FE73}">
  <cacheSource type="worksheet">
    <worksheetSource name="Table2"/>
  </cacheSource>
  <cacheFields count="8">
    <cacheField name="Segment" numFmtId="0">
      <sharedItems count="5">
        <s v="Students"/>
        <s v="Young Professionals"/>
        <s v="Mid-To-Late Career"/>
        <s v="Retirees"/>
        <s v="Homemakers"/>
      </sharedItems>
    </cacheField>
    <cacheField name="Satisfaction Score" numFmtId="9">
      <sharedItems containsSemiMixedTypes="0" containsString="0" containsNumber="1" minValue="0.74" maxValue="0.95" count="5">
        <n v="0.89"/>
        <n v="0.91"/>
        <n v="0.74"/>
        <n v="0.88"/>
        <n v="0.95"/>
      </sharedItems>
    </cacheField>
    <cacheField name="Satisfaction  level" numFmtId="0">
      <sharedItems count="3">
        <s v="Medium Satisfaction"/>
        <s v=" High Satisfaction"/>
        <s v="Low Satisfaction"/>
      </sharedItems>
    </cacheField>
    <cacheField name="Cons" numFmtId="0">
      <sharedItems containsBlank="1"/>
    </cacheField>
    <cacheField name="Average Hours" numFmtId="0">
      <sharedItems containsBlank="1"/>
    </cacheField>
    <cacheField name="Pros2" numFmtId="0">
      <sharedItems/>
    </cacheField>
    <cacheField name="Cons2" numFmtId="0">
      <sharedItems containsBlank="1"/>
    </cacheField>
    <cacheField name="Priority " numFmtId="0">
      <sharedItems containsSemiMixedTypes="0" containsString="0" containsNumber="1" containsInteger="1" minValue="1" maxValue="5" count="5">
        <n v="3"/>
        <n v="2"/>
        <n v="5"/>
        <n v="4"/>
        <n v="1"/>
      </sharedItems>
    </cacheField>
  </cacheFields>
  <extLst>
    <ext xmlns:x14="http://schemas.microsoft.com/office/spreadsheetml/2009/9/main" uri="{725AE2AE-9491-48be-B2B4-4EB974FC3084}">
      <x14:pivotCacheDefinition pivotCacheId="271562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Medical Volunteer (Doctor/Nurse)"/>
    <n v="3500"/>
    <s v="Yes"/>
    <s v="No"/>
    <x v="0"/>
    <x v="0"/>
  </r>
  <r>
    <s v="Health Educator (Specialist)"/>
    <n v="2000"/>
    <s v="Yes"/>
    <s v="No"/>
    <x v="0"/>
    <x v="0"/>
  </r>
  <r>
    <s v="First Aid &amp; Emergency Responder"/>
    <n v="1500"/>
    <s v="Yes"/>
    <s v="No"/>
    <x v="0"/>
    <x v="0"/>
  </r>
  <r>
    <s v="Health Outreach Volunteer"/>
    <n v="1500"/>
    <s v="No"/>
    <s v="Yes"/>
    <x v="1"/>
    <x v="1"/>
  </r>
  <r>
    <s v="Patient Support Volunteer"/>
    <n v="1000"/>
    <s v="No"/>
    <s v="Yes"/>
    <x v="1"/>
    <x v="1"/>
  </r>
  <r>
    <s v="Mobile Clinic Assistant"/>
    <n v="600"/>
    <s v="No"/>
    <s v="Yes"/>
    <x v="1"/>
    <x v="1"/>
  </r>
  <r>
    <s v="Health Screening Assistant"/>
    <n v="400"/>
    <s v="No"/>
    <s v="Yes"/>
    <x v="1"/>
    <x v="1"/>
  </r>
  <r>
    <s v="Event Organizer/Logistics"/>
    <n v="2500"/>
    <s v="No"/>
    <s v="No"/>
    <x v="1"/>
    <x v="0"/>
  </r>
  <r>
    <s v="Administrative &amp; Data Entry"/>
    <n v="2000"/>
    <s v="No"/>
    <s v="No"/>
    <x v="1"/>
    <x v="0"/>
  </r>
  <r>
    <s v="Communications &amp; Awareness"/>
    <n v="2500"/>
    <s v="No"/>
    <s v="No"/>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x v="0"/>
    <n v="2"/>
  </r>
  <r>
    <x v="1"/>
    <n v="1"/>
  </r>
  <r>
    <x v="2"/>
    <n v="0"/>
  </r>
  <r>
    <x v="2"/>
    <n v="4"/>
  </r>
  <r>
    <x v="2"/>
    <n v="0"/>
  </r>
  <r>
    <x v="3"/>
    <n v="2"/>
  </r>
  <r>
    <x v="2"/>
    <n v="5"/>
  </r>
  <r>
    <x v="0"/>
    <n v="2"/>
  </r>
  <r>
    <x v="3"/>
    <n v="3"/>
  </r>
  <r>
    <x v="4"/>
    <n v="0"/>
  </r>
  <r>
    <x v="3"/>
    <n v="2"/>
  </r>
  <r>
    <x v="3"/>
    <n v="4"/>
  </r>
  <r>
    <x v="5"/>
    <n v="3"/>
  </r>
  <r>
    <x v="2"/>
    <n v="4"/>
  </r>
  <r>
    <x v="5"/>
    <n v="3"/>
  </r>
  <r>
    <x v="1"/>
    <n v="1"/>
  </r>
  <r>
    <x v="2"/>
    <n v="3"/>
  </r>
  <r>
    <x v="6"/>
    <n v="3"/>
  </r>
  <r>
    <x v="4"/>
    <n v="4"/>
  </r>
  <r>
    <x v="0"/>
    <n v="4"/>
  </r>
  <r>
    <x v="2"/>
    <n v="1"/>
  </r>
  <r>
    <x v="6"/>
    <n v="4"/>
  </r>
  <r>
    <x v="0"/>
    <n v="1"/>
  </r>
  <r>
    <x v="0"/>
    <n v="2"/>
  </r>
  <r>
    <x v="3"/>
    <n v="1"/>
  </r>
  <r>
    <x v="5"/>
    <n v="0"/>
  </r>
  <r>
    <x v="5"/>
    <n v="3"/>
  </r>
  <r>
    <x v="5"/>
    <n v="5"/>
  </r>
  <r>
    <x v="1"/>
    <n v="5"/>
  </r>
  <r>
    <x v="0"/>
    <n v="3"/>
  </r>
  <r>
    <x v="6"/>
    <n v="0"/>
  </r>
  <r>
    <x v="2"/>
    <n v="3"/>
  </r>
  <r>
    <x v="3"/>
    <n v="1"/>
  </r>
  <r>
    <x v="2"/>
    <n v="2"/>
  </r>
  <r>
    <x v="2"/>
    <n v="0"/>
  </r>
  <r>
    <x v="4"/>
    <n v="0"/>
  </r>
  <r>
    <x v="1"/>
    <n v="4"/>
  </r>
  <r>
    <x v="0"/>
    <n v="2"/>
  </r>
  <r>
    <x v="6"/>
    <n v="0"/>
  </r>
  <r>
    <x v="0"/>
    <n v="5"/>
  </r>
  <r>
    <x v="0"/>
    <n v="2"/>
  </r>
  <r>
    <x v="1"/>
    <n v="1"/>
  </r>
  <r>
    <x v="4"/>
    <n v="2"/>
  </r>
  <r>
    <x v="0"/>
    <n v="4"/>
  </r>
  <r>
    <x v="5"/>
    <n v="0"/>
  </r>
  <r>
    <x v="4"/>
    <n v="1"/>
  </r>
  <r>
    <x v="1"/>
    <n v="4"/>
  </r>
  <r>
    <x v="6"/>
    <n v="1"/>
  </r>
  <r>
    <x v="5"/>
    <n v="1"/>
  </r>
  <r>
    <x v="1"/>
    <n v="4"/>
  </r>
  <r>
    <x v="1"/>
    <n v="3"/>
  </r>
  <r>
    <x v="3"/>
    <n v="1"/>
  </r>
  <r>
    <x v="3"/>
    <n v="2"/>
  </r>
  <r>
    <x v="2"/>
    <n v="5"/>
  </r>
  <r>
    <x v="3"/>
    <n v="1"/>
  </r>
  <r>
    <x v="6"/>
    <n v="2"/>
  </r>
  <r>
    <x v="2"/>
    <n v="5"/>
  </r>
  <r>
    <x v="0"/>
    <n v="1"/>
  </r>
  <r>
    <x v="1"/>
    <n v="1"/>
  </r>
  <r>
    <x v="6"/>
    <n v="5"/>
  </r>
  <r>
    <x v="2"/>
    <n v="3"/>
  </r>
  <r>
    <x v="1"/>
    <n v="4"/>
  </r>
  <r>
    <x v="1"/>
    <n v="3"/>
  </r>
  <r>
    <x v="7"/>
    <n v="3"/>
  </r>
  <r>
    <x v="0"/>
    <n v="3"/>
  </r>
  <r>
    <x v="6"/>
    <n v="0"/>
  </r>
  <r>
    <x v="4"/>
    <n v="4"/>
  </r>
  <r>
    <x v="7"/>
    <n v="1"/>
  </r>
  <r>
    <x v="1"/>
    <n v="5"/>
  </r>
  <r>
    <x v="5"/>
    <n v="2"/>
  </r>
  <r>
    <x v="2"/>
    <n v="1"/>
  </r>
  <r>
    <x v="2"/>
    <n v="2"/>
  </r>
  <r>
    <x v="7"/>
    <n v="1"/>
  </r>
  <r>
    <x v="0"/>
    <n v="4"/>
  </r>
  <r>
    <x v="3"/>
    <n v="1"/>
  </r>
  <r>
    <x v="4"/>
    <n v="3"/>
  </r>
  <r>
    <x v="5"/>
    <n v="2"/>
  </r>
  <r>
    <x v="5"/>
    <n v="4"/>
  </r>
  <r>
    <x v="7"/>
    <n v="4"/>
  </r>
  <r>
    <x v="7"/>
    <n v="0"/>
  </r>
  <r>
    <x v="3"/>
    <n v="1"/>
  </r>
  <r>
    <x v="7"/>
    <n v="2"/>
  </r>
  <r>
    <x v="1"/>
    <n v="2"/>
  </r>
  <r>
    <x v="3"/>
    <n v="0"/>
  </r>
  <r>
    <x v="5"/>
    <n v="0"/>
  </r>
  <r>
    <x v="5"/>
    <n v="0"/>
  </r>
  <r>
    <x v="5"/>
    <n v="2"/>
  </r>
  <r>
    <x v="6"/>
    <n v="0"/>
  </r>
  <r>
    <x v="5"/>
    <n v="5"/>
  </r>
  <r>
    <x v="0"/>
    <n v="0"/>
  </r>
  <r>
    <x v="0"/>
    <n v="5"/>
  </r>
  <r>
    <x v="3"/>
    <n v="2"/>
  </r>
  <r>
    <x v="6"/>
    <n v="0"/>
  </r>
  <r>
    <x v="1"/>
    <n v="3"/>
  </r>
  <r>
    <x v="7"/>
    <n v="5"/>
  </r>
  <r>
    <x v="5"/>
    <n v="3"/>
  </r>
  <r>
    <x v="3"/>
    <n v="5"/>
  </r>
  <r>
    <x v="1"/>
    <n v="2"/>
  </r>
  <r>
    <x v="0"/>
    <n v="0"/>
  </r>
  <r>
    <x v="0"/>
    <n v="5"/>
  </r>
  <r>
    <x v="3"/>
    <n v="1"/>
  </r>
  <r>
    <x v="0"/>
    <n v="5"/>
  </r>
  <r>
    <x v="3"/>
    <n v="5"/>
  </r>
  <r>
    <x v="4"/>
    <n v="2"/>
  </r>
  <r>
    <x v="1"/>
    <n v="4"/>
  </r>
  <r>
    <x v="2"/>
    <n v="0"/>
  </r>
  <r>
    <x v="3"/>
    <n v="3"/>
  </r>
  <r>
    <x v="6"/>
    <n v="0"/>
  </r>
  <r>
    <x v="3"/>
    <n v="1"/>
  </r>
  <r>
    <x v="7"/>
    <n v="2"/>
  </r>
  <r>
    <x v="6"/>
    <n v="2"/>
  </r>
  <r>
    <x v="4"/>
    <n v="0"/>
  </r>
  <r>
    <x v="0"/>
    <n v="0"/>
  </r>
  <r>
    <x v="2"/>
    <n v="0"/>
  </r>
  <r>
    <x v="7"/>
    <n v="3"/>
  </r>
  <r>
    <x v="1"/>
    <n v="4"/>
  </r>
  <r>
    <x v="7"/>
    <n v="0"/>
  </r>
  <r>
    <x v="6"/>
    <n v="3"/>
  </r>
  <r>
    <x v="4"/>
    <n v="2"/>
  </r>
  <r>
    <x v="0"/>
    <n v="2"/>
  </r>
  <r>
    <x v="6"/>
    <n v="1"/>
  </r>
  <r>
    <x v="5"/>
    <n v="1"/>
  </r>
  <r>
    <x v="3"/>
    <n v="3"/>
  </r>
  <r>
    <x v="0"/>
    <n v="3"/>
  </r>
  <r>
    <x v="0"/>
    <n v="3"/>
  </r>
  <r>
    <x v="1"/>
    <n v="5"/>
  </r>
  <r>
    <x v="5"/>
    <n v="1"/>
  </r>
  <r>
    <x v="3"/>
    <n v="1"/>
  </r>
  <r>
    <x v="5"/>
    <n v="3"/>
  </r>
  <r>
    <x v="4"/>
    <n v="3"/>
  </r>
  <r>
    <x v="7"/>
    <n v="2"/>
  </r>
  <r>
    <x v="0"/>
    <n v="1"/>
  </r>
  <r>
    <x v="1"/>
    <n v="0"/>
  </r>
  <r>
    <x v="2"/>
    <n v="5"/>
  </r>
  <r>
    <x v="3"/>
    <n v="5"/>
  </r>
  <r>
    <x v="7"/>
    <n v="1"/>
  </r>
  <r>
    <x v="0"/>
    <n v="2"/>
  </r>
  <r>
    <x v="6"/>
    <n v="5"/>
  </r>
  <r>
    <x v="4"/>
    <n v="4"/>
  </r>
  <r>
    <x v="7"/>
    <n v="3"/>
  </r>
  <r>
    <x v="7"/>
    <n v="2"/>
  </r>
  <r>
    <x v="5"/>
    <n v="0"/>
  </r>
  <r>
    <x v="6"/>
    <n v="3"/>
  </r>
  <r>
    <x v="4"/>
    <n v="5"/>
  </r>
  <r>
    <x v="7"/>
    <n v="4"/>
  </r>
  <r>
    <x v="6"/>
    <n v="2"/>
  </r>
  <r>
    <x v="2"/>
    <n v="2"/>
  </r>
  <r>
    <x v="7"/>
    <n v="4"/>
  </r>
  <r>
    <x v="7"/>
    <n v="1"/>
  </r>
  <r>
    <x v="0"/>
    <n v="5"/>
  </r>
  <r>
    <x v="5"/>
    <n v="5"/>
  </r>
  <r>
    <x v="3"/>
    <n v="4"/>
  </r>
  <r>
    <x v="5"/>
    <n v="2"/>
  </r>
  <r>
    <x v="4"/>
    <n v="3"/>
  </r>
  <r>
    <x v="3"/>
    <n v="5"/>
  </r>
  <r>
    <x v="2"/>
    <n v="2"/>
  </r>
  <r>
    <x v="1"/>
    <n v="0"/>
  </r>
  <r>
    <x v="7"/>
    <n v="4"/>
  </r>
  <r>
    <x v="1"/>
    <n v="3"/>
  </r>
  <r>
    <x v="7"/>
    <n v="0"/>
  </r>
  <r>
    <x v="7"/>
    <n v="4"/>
  </r>
  <r>
    <x v="4"/>
    <n v="0"/>
  </r>
  <r>
    <x v="2"/>
    <n v="4"/>
  </r>
  <r>
    <x v="3"/>
    <n v="2"/>
  </r>
  <r>
    <x v="7"/>
    <n v="1"/>
  </r>
  <r>
    <x v="7"/>
    <n v="4"/>
  </r>
  <r>
    <x v="1"/>
    <n v="1"/>
  </r>
  <r>
    <x v="6"/>
    <n v="4"/>
  </r>
  <r>
    <x v="6"/>
    <n v="2"/>
  </r>
  <r>
    <x v="1"/>
    <n v="1"/>
  </r>
  <r>
    <x v="6"/>
    <n v="1"/>
  </r>
  <r>
    <x v="6"/>
    <n v="1"/>
  </r>
  <r>
    <x v="4"/>
    <n v="3"/>
  </r>
  <r>
    <x v="6"/>
    <n v="4"/>
  </r>
  <r>
    <x v="7"/>
    <n v="0"/>
  </r>
  <r>
    <x v="6"/>
    <n v="5"/>
  </r>
  <r>
    <x v="7"/>
    <n v="1"/>
  </r>
  <r>
    <x v="4"/>
    <n v="2"/>
  </r>
  <r>
    <x v="5"/>
    <n v="1"/>
  </r>
  <r>
    <x v="3"/>
    <n v="0"/>
  </r>
  <r>
    <x v="2"/>
    <n v="5"/>
  </r>
  <r>
    <x v="7"/>
    <n v="0"/>
  </r>
  <r>
    <x v="5"/>
    <n v="3"/>
  </r>
  <r>
    <x v="7"/>
    <n v="2"/>
  </r>
  <r>
    <x v="4"/>
    <n v="2"/>
  </r>
  <r>
    <x v="1"/>
    <n v="0"/>
  </r>
  <r>
    <x v="1"/>
    <n v="3"/>
  </r>
  <r>
    <x v="2"/>
    <n v="4"/>
  </r>
  <r>
    <x v="1"/>
    <n v="4"/>
  </r>
  <r>
    <x v="5"/>
    <n v="4"/>
  </r>
  <r>
    <x v="7"/>
    <n v="1"/>
  </r>
  <r>
    <x v="7"/>
    <n v="2"/>
  </r>
  <r>
    <x v="4"/>
    <n v="1"/>
  </r>
  <r>
    <x v="4"/>
    <n v="5"/>
  </r>
  <r>
    <x v="4"/>
    <n v="2"/>
  </r>
  <r>
    <x v="4"/>
    <n v="3"/>
  </r>
  <r>
    <x v="1"/>
    <n v="5"/>
  </r>
  <r>
    <x v="4"/>
    <n v="1"/>
  </r>
  <r>
    <x v="2"/>
    <n v="3"/>
  </r>
  <r>
    <x v="1"/>
    <n v="0"/>
  </r>
  <r>
    <x v="2"/>
    <n v="3"/>
  </r>
  <r>
    <x v="2"/>
    <n v="2"/>
  </r>
  <r>
    <x v="3"/>
    <n v="2"/>
  </r>
  <r>
    <x v="2"/>
    <n v="3"/>
  </r>
  <r>
    <x v="0"/>
    <n v="3"/>
  </r>
  <r>
    <x v="4"/>
    <n v="5"/>
  </r>
  <r>
    <x v="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x v="0"/>
    <n v="2"/>
  </r>
  <r>
    <x v="1"/>
    <n v="1"/>
  </r>
  <r>
    <x v="2"/>
    <n v="0"/>
  </r>
  <r>
    <x v="2"/>
    <n v="4"/>
  </r>
  <r>
    <x v="3"/>
    <n v="5"/>
  </r>
  <r>
    <x v="2"/>
    <n v="0"/>
  </r>
  <r>
    <x v="4"/>
    <n v="2"/>
  </r>
  <r>
    <x v="2"/>
    <n v="5"/>
  </r>
  <r>
    <x v="0"/>
    <n v="2"/>
  </r>
  <r>
    <x v="3"/>
    <n v="5"/>
  </r>
  <r>
    <x v="4"/>
    <n v="3"/>
  </r>
  <r>
    <x v="5"/>
    <n v="0"/>
  </r>
  <r>
    <x v="4"/>
    <n v="2"/>
  </r>
  <r>
    <x v="4"/>
    <n v="4"/>
  </r>
  <r>
    <x v="6"/>
    <n v="3"/>
  </r>
  <r>
    <x v="3"/>
    <n v="4"/>
  </r>
  <r>
    <x v="3"/>
    <n v="3"/>
  </r>
  <r>
    <x v="2"/>
    <n v="4"/>
  </r>
  <r>
    <x v="3"/>
    <n v="2"/>
  </r>
  <r>
    <x v="6"/>
    <n v="3"/>
  </r>
  <r>
    <x v="3"/>
    <n v="2"/>
  </r>
  <r>
    <x v="3"/>
    <n v="7"/>
  </r>
  <r>
    <x v="3"/>
    <n v="2"/>
  </r>
  <r>
    <x v="1"/>
    <n v="1"/>
  </r>
  <r>
    <x v="2"/>
    <n v="3"/>
  </r>
  <r>
    <x v="7"/>
    <n v="3"/>
  </r>
  <r>
    <x v="5"/>
    <n v="4"/>
  </r>
  <r>
    <x v="3"/>
    <n v="3"/>
  </r>
  <r>
    <x v="0"/>
    <n v="4"/>
  </r>
  <r>
    <x v="2"/>
    <n v="1"/>
  </r>
  <r>
    <x v="7"/>
    <n v="4"/>
  </r>
  <r>
    <x v="0"/>
    <n v="1"/>
  </r>
  <r>
    <x v="0"/>
    <n v="2"/>
  </r>
  <r>
    <x v="4"/>
    <n v="1"/>
  </r>
  <r>
    <x v="6"/>
    <n v="0"/>
  </r>
  <r>
    <x v="6"/>
    <n v="3"/>
  </r>
  <r>
    <x v="6"/>
    <n v="5"/>
  </r>
  <r>
    <x v="1"/>
    <n v="5"/>
  </r>
  <r>
    <x v="0"/>
    <n v="3"/>
  </r>
  <r>
    <x v="7"/>
    <n v="0"/>
  </r>
  <r>
    <x v="2"/>
    <n v="3"/>
  </r>
  <r>
    <x v="4"/>
    <n v="1"/>
  </r>
  <r>
    <x v="2"/>
    <n v="2"/>
  </r>
  <r>
    <x v="2"/>
    <n v="0"/>
  </r>
  <r>
    <x v="5"/>
    <n v="0"/>
  </r>
  <r>
    <x v="1"/>
    <n v="4"/>
  </r>
  <r>
    <x v="0"/>
    <n v="2"/>
  </r>
  <r>
    <x v="8"/>
    <n v="4"/>
  </r>
  <r>
    <x v="7"/>
    <n v="0"/>
  </r>
  <r>
    <x v="0"/>
    <n v="5"/>
  </r>
  <r>
    <x v="0"/>
    <n v="2"/>
  </r>
  <r>
    <x v="3"/>
    <n v="1"/>
  </r>
  <r>
    <x v="1"/>
    <n v="1"/>
  </r>
  <r>
    <x v="5"/>
    <n v="2"/>
  </r>
  <r>
    <x v="3"/>
    <n v="1"/>
  </r>
  <r>
    <x v="0"/>
    <n v="4"/>
  </r>
  <r>
    <x v="3"/>
    <n v="2"/>
  </r>
  <r>
    <x v="6"/>
    <n v="0"/>
  </r>
  <r>
    <x v="5"/>
    <n v="1"/>
  </r>
  <r>
    <x v="8"/>
    <n v="0"/>
  </r>
  <r>
    <x v="3"/>
    <n v="4"/>
  </r>
  <r>
    <x v="1"/>
    <n v="4"/>
  </r>
  <r>
    <x v="7"/>
    <n v="1"/>
  </r>
  <r>
    <x v="8"/>
    <n v="0"/>
  </r>
  <r>
    <x v="6"/>
    <n v="1"/>
  </r>
  <r>
    <x v="1"/>
    <n v="4"/>
  </r>
  <r>
    <x v="3"/>
    <n v="2"/>
  </r>
  <r>
    <x v="3"/>
    <n v="2"/>
  </r>
  <r>
    <x v="1"/>
    <n v="3"/>
  </r>
  <r>
    <x v="4"/>
    <n v="1"/>
  </r>
  <r>
    <x v="4"/>
    <n v="2"/>
  </r>
  <r>
    <x v="3"/>
    <n v="2"/>
  </r>
  <r>
    <x v="2"/>
    <n v="5"/>
  </r>
  <r>
    <x v="4"/>
    <n v="1"/>
  </r>
  <r>
    <x v="8"/>
    <n v="1"/>
  </r>
  <r>
    <x v="3"/>
    <n v="4"/>
  </r>
  <r>
    <x v="7"/>
    <n v="2"/>
  </r>
  <r>
    <x v="2"/>
    <n v="5"/>
  </r>
  <r>
    <x v="0"/>
    <n v="1"/>
  </r>
  <r>
    <x v="3"/>
    <n v="3"/>
  </r>
  <r>
    <x v="3"/>
    <n v="6"/>
  </r>
  <r>
    <x v="1"/>
    <n v="1"/>
  </r>
  <r>
    <x v="7"/>
    <n v="5"/>
  </r>
  <r>
    <x v="2"/>
    <n v="3"/>
  </r>
  <r>
    <x v="1"/>
    <n v="4"/>
  </r>
  <r>
    <x v="1"/>
    <n v="3"/>
  </r>
  <r>
    <x v="9"/>
    <n v="3"/>
  </r>
  <r>
    <x v="0"/>
    <n v="3"/>
  </r>
  <r>
    <x v="7"/>
    <n v="0"/>
  </r>
  <r>
    <x v="8"/>
    <n v="1"/>
  </r>
  <r>
    <x v="5"/>
    <n v="4"/>
  </r>
  <r>
    <x v="3"/>
    <n v="6"/>
  </r>
  <r>
    <x v="9"/>
    <n v="1"/>
  </r>
  <r>
    <x v="1"/>
    <n v="5"/>
  </r>
  <r>
    <x v="6"/>
    <n v="2"/>
  </r>
  <r>
    <x v="3"/>
    <n v="3"/>
  </r>
  <r>
    <x v="8"/>
    <n v="5"/>
  </r>
  <r>
    <x v="2"/>
    <n v="1"/>
  </r>
  <r>
    <x v="3"/>
    <n v="7"/>
  </r>
  <r>
    <x v="2"/>
    <n v="2"/>
  </r>
  <r>
    <x v="9"/>
    <n v="1"/>
  </r>
  <r>
    <x v="0"/>
    <n v="4"/>
  </r>
  <r>
    <x v="4"/>
    <n v="1"/>
  </r>
  <r>
    <x v="5"/>
    <n v="3"/>
  </r>
  <r>
    <x v="6"/>
    <n v="2"/>
  </r>
  <r>
    <x v="6"/>
    <n v="4"/>
  </r>
  <r>
    <x v="9"/>
    <n v="4"/>
  </r>
  <r>
    <x v="9"/>
    <n v="0"/>
  </r>
  <r>
    <x v="8"/>
    <n v="5"/>
  </r>
  <r>
    <x v="4"/>
    <n v="1"/>
  </r>
  <r>
    <x v="9"/>
    <n v="2"/>
  </r>
  <r>
    <x v="1"/>
    <n v="2"/>
  </r>
  <r>
    <x v="8"/>
    <n v="0"/>
  </r>
  <r>
    <x v="4"/>
    <n v="0"/>
  </r>
  <r>
    <x v="8"/>
    <n v="1"/>
  </r>
  <r>
    <x v="6"/>
    <n v="0"/>
  </r>
  <r>
    <x v="6"/>
    <n v="0"/>
  </r>
  <r>
    <x v="6"/>
    <n v="2"/>
  </r>
  <r>
    <x v="7"/>
    <n v="0"/>
  </r>
  <r>
    <x v="6"/>
    <n v="5"/>
  </r>
  <r>
    <x v="0"/>
    <n v="0"/>
  </r>
  <r>
    <x v="0"/>
    <n v="5"/>
  </r>
  <r>
    <x v="4"/>
    <n v="2"/>
  </r>
  <r>
    <x v="7"/>
    <n v="0"/>
  </r>
  <r>
    <x v="3"/>
    <n v="3"/>
  </r>
  <r>
    <x v="1"/>
    <n v="3"/>
  </r>
  <r>
    <x v="9"/>
    <n v="5"/>
  </r>
  <r>
    <x v="6"/>
    <n v="3"/>
  </r>
  <r>
    <x v="8"/>
    <n v="1"/>
  </r>
  <r>
    <x v="4"/>
    <n v="5"/>
  </r>
  <r>
    <x v="1"/>
    <n v="2"/>
  </r>
  <r>
    <x v="0"/>
    <n v="0"/>
  </r>
  <r>
    <x v="0"/>
    <n v="5"/>
  </r>
  <r>
    <x v="4"/>
    <n v="1"/>
  </r>
  <r>
    <x v="0"/>
    <n v="5"/>
  </r>
  <r>
    <x v="4"/>
    <n v="5"/>
  </r>
  <r>
    <x v="5"/>
    <n v="2"/>
  </r>
  <r>
    <x v="1"/>
    <n v="4"/>
  </r>
  <r>
    <x v="2"/>
    <n v="0"/>
  </r>
  <r>
    <x v="8"/>
    <n v="1"/>
  </r>
  <r>
    <x v="4"/>
    <n v="3"/>
  </r>
  <r>
    <x v="3"/>
    <n v="6"/>
  </r>
  <r>
    <x v="8"/>
    <n v="3"/>
  </r>
  <r>
    <x v="3"/>
    <n v="3"/>
  </r>
  <r>
    <x v="7"/>
    <n v="0"/>
  </r>
  <r>
    <x v="4"/>
    <n v="1"/>
  </r>
  <r>
    <x v="9"/>
    <n v="2"/>
  </r>
  <r>
    <x v="8"/>
    <n v="1"/>
  </r>
  <r>
    <x v="7"/>
    <n v="2"/>
  </r>
  <r>
    <x v="5"/>
    <n v="0"/>
  </r>
  <r>
    <x v="0"/>
    <n v="0"/>
  </r>
  <r>
    <x v="2"/>
    <n v="0"/>
  </r>
  <r>
    <x v="3"/>
    <n v="2"/>
  </r>
  <r>
    <x v="9"/>
    <n v="3"/>
  </r>
  <r>
    <x v="3"/>
    <n v="2"/>
  </r>
  <r>
    <x v="1"/>
    <n v="4"/>
  </r>
  <r>
    <x v="9"/>
    <n v="0"/>
  </r>
  <r>
    <x v="7"/>
    <n v="3"/>
  </r>
  <r>
    <x v="5"/>
    <n v="2"/>
  </r>
  <r>
    <x v="0"/>
    <n v="2"/>
  </r>
  <r>
    <x v="8"/>
    <n v="0"/>
  </r>
  <r>
    <x v="7"/>
    <n v="1"/>
  </r>
  <r>
    <x v="6"/>
    <n v="1"/>
  </r>
  <r>
    <x v="4"/>
    <n v="3"/>
  </r>
  <r>
    <x v="0"/>
    <n v="3"/>
  </r>
  <r>
    <x v="0"/>
    <n v="3"/>
  </r>
  <r>
    <x v="1"/>
    <n v="5"/>
  </r>
  <r>
    <x v="6"/>
    <n v="1"/>
  </r>
  <r>
    <x v="4"/>
    <n v="1"/>
  </r>
  <r>
    <x v="6"/>
    <n v="3"/>
  </r>
  <r>
    <x v="5"/>
    <n v="3"/>
  </r>
  <r>
    <x v="9"/>
    <n v="2"/>
  </r>
  <r>
    <x v="3"/>
    <n v="4"/>
  </r>
  <r>
    <x v="3"/>
    <n v="7"/>
  </r>
  <r>
    <x v="8"/>
    <n v="2"/>
  </r>
  <r>
    <x v="0"/>
    <n v="1"/>
  </r>
  <r>
    <x v="1"/>
    <n v="0"/>
  </r>
  <r>
    <x v="3"/>
    <n v="2"/>
  </r>
  <r>
    <x v="2"/>
    <n v="5"/>
  </r>
  <r>
    <x v="4"/>
    <n v="5"/>
  </r>
  <r>
    <x v="9"/>
    <n v="1"/>
  </r>
  <r>
    <x v="0"/>
    <n v="2"/>
  </r>
  <r>
    <x v="7"/>
    <n v="5"/>
  </r>
  <r>
    <x v="8"/>
    <n v="1"/>
  </r>
  <r>
    <x v="5"/>
    <n v="4"/>
  </r>
  <r>
    <x v="9"/>
    <n v="3"/>
  </r>
  <r>
    <x v="8"/>
    <n v="0"/>
  </r>
  <r>
    <x v="9"/>
    <n v="2"/>
  </r>
  <r>
    <x v="3"/>
    <n v="4"/>
  </r>
  <r>
    <x v="6"/>
    <n v="0"/>
  </r>
  <r>
    <x v="7"/>
    <n v="3"/>
  </r>
  <r>
    <x v="8"/>
    <n v="2"/>
  </r>
  <r>
    <x v="5"/>
    <n v="5"/>
  </r>
  <r>
    <x v="9"/>
    <n v="4"/>
  </r>
  <r>
    <x v="3"/>
    <n v="3"/>
  </r>
  <r>
    <x v="7"/>
    <n v="2"/>
  </r>
  <r>
    <x v="2"/>
    <n v="2"/>
  </r>
  <r>
    <x v="9"/>
    <n v="4"/>
  </r>
  <r>
    <x v="9"/>
    <n v="1"/>
  </r>
  <r>
    <x v="0"/>
    <n v="5"/>
  </r>
  <r>
    <x v="8"/>
    <n v="1"/>
  </r>
  <r>
    <x v="6"/>
    <n v="5"/>
  </r>
  <r>
    <x v="3"/>
    <n v="3"/>
  </r>
  <r>
    <x v="4"/>
    <n v="4"/>
  </r>
  <r>
    <x v="6"/>
    <n v="2"/>
  </r>
  <r>
    <x v="3"/>
    <n v="2"/>
  </r>
  <r>
    <x v="8"/>
    <n v="0"/>
  </r>
  <r>
    <x v="3"/>
    <n v="1"/>
  </r>
  <r>
    <x v="3"/>
    <n v="4"/>
  </r>
  <r>
    <x v="5"/>
    <n v="3"/>
  </r>
  <r>
    <x v="4"/>
    <n v="5"/>
  </r>
  <r>
    <x v="8"/>
    <n v="1"/>
  </r>
  <r>
    <x v="2"/>
    <n v="2"/>
  </r>
  <r>
    <x v="1"/>
    <n v="0"/>
  </r>
  <r>
    <x v="9"/>
    <n v="4"/>
  </r>
  <r>
    <x v="1"/>
    <n v="3"/>
  </r>
  <r>
    <x v="3"/>
    <n v="3"/>
  </r>
  <r>
    <x v="9"/>
    <n v="0"/>
  </r>
  <r>
    <x v="9"/>
    <n v="4"/>
  </r>
  <r>
    <x v="3"/>
    <n v="5"/>
  </r>
  <r>
    <x v="3"/>
    <n v="3"/>
  </r>
  <r>
    <x v="5"/>
    <n v="0"/>
  </r>
  <r>
    <x v="2"/>
    <n v="4"/>
  </r>
  <r>
    <x v="3"/>
    <n v="2"/>
  </r>
  <r>
    <x v="4"/>
    <n v="2"/>
  </r>
  <r>
    <x v="3"/>
    <n v="2"/>
  </r>
  <r>
    <x v="3"/>
    <n v="4"/>
  </r>
  <r>
    <x v="9"/>
    <n v="1"/>
  </r>
  <r>
    <x v="9"/>
    <n v="4"/>
  </r>
  <r>
    <x v="1"/>
    <n v="1"/>
  </r>
  <r>
    <x v="7"/>
    <n v="4"/>
  </r>
  <r>
    <x v="7"/>
    <n v="2"/>
  </r>
  <r>
    <x v="1"/>
    <n v="1"/>
  </r>
  <r>
    <x v="7"/>
    <n v="1"/>
  </r>
  <r>
    <x v="3"/>
    <n v="4"/>
  </r>
  <r>
    <x v="3"/>
    <n v="4"/>
  </r>
  <r>
    <x v="3"/>
    <n v="6"/>
  </r>
  <r>
    <x v="7"/>
    <n v="1"/>
  </r>
  <r>
    <x v="8"/>
    <n v="0"/>
  </r>
  <r>
    <x v="8"/>
    <n v="1"/>
  </r>
  <r>
    <x v="5"/>
    <n v="3"/>
  </r>
  <r>
    <x v="7"/>
    <n v="4"/>
  </r>
  <r>
    <x v="3"/>
    <n v="2"/>
  </r>
  <r>
    <x v="9"/>
    <n v="0"/>
  </r>
  <r>
    <x v="3"/>
    <n v="1"/>
  </r>
  <r>
    <x v="7"/>
    <n v="5"/>
  </r>
  <r>
    <x v="9"/>
    <n v="1"/>
  </r>
  <r>
    <x v="5"/>
    <n v="2"/>
  </r>
  <r>
    <x v="8"/>
    <n v="2"/>
  </r>
  <r>
    <x v="6"/>
    <n v="1"/>
  </r>
  <r>
    <x v="4"/>
    <n v="0"/>
  </r>
  <r>
    <x v="3"/>
    <n v="3"/>
  </r>
  <r>
    <x v="2"/>
    <n v="5"/>
  </r>
  <r>
    <x v="9"/>
    <n v="0"/>
  </r>
  <r>
    <x v="6"/>
    <n v="3"/>
  </r>
  <r>
    <x v="9"/>
    <n v="2"/>
  </r>
  <r>
    <x v="5"/>
    <n v="2"/>
  </r>
  <r>
    <x v="1"/>
    <n v="0"/>
  </r>
  <r>
    <x v="1"/>
    <n v="3"/>
  </r>
  <r>
    <x v="8"/>
    <n v="3"/>
  </r>
  <r>
    <x v="2"/>
    <n v="4"/>
  </r>
  <r>
    <x v="1"/>
    <n v="4"/>
  </r>
  <r>
    <x v="6"/>
    <n v="4"/>
  </r>
  <r>
    <x v="9"/>
    <n v="1"/>
  </r>
  <r>
    <x v="9"/>
    <n v="2"/>
  </r>
  <r>
    <x v="5"/>
    <n v="1"/>
  </r>
  <r>
    <x v="5"/>
    <n v="5"/>
  </r>
  <r>
    <x v="5"/>
    <n v="2"/>
  </r>
  <r>
    <x v="5"/>
    <n v="3"/>
  </r>
  <r>
    <x v="1"/>
    <n v="5"/>
  </r>
  <r>
    <x v="5"/>
    <n v="1"/>
  </r>
  <r>
    <x v="2"/>
    <n v="3"/>
  </r>
  <r>
    <x v="1"/>
    <n v="0"/>
  </r>
  <r>
    <x v="2"/>
    <n v="3"/>
  </r>
  <r>
    <x v="2"/>
    <n v="2"/>
  </r>
  <r>
    <x v="4"/>
    <n v="2"/>
  </r>
  <r>
    <x v="3"/>
    <n v="2"/>
  </r>
  <r>
    <x v="3"/>
    <n v="2"/>
  </r>
  <r>
    <x v="2"/>
    <n v="3"/>
  </r>
  <r>
    <x v="0"/>
    <n v="3"/>
  </r>
  <r>
    <x v="5"/>
    <n v="5"/>
  </r>
  <r>
    <x v="1"/>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x v="0"/>
    <n v="3"/>
  </r>
  <r>
    <x v="1"/>
    <n v="6"/>
  </r>
  <r>
    <x v="0"/>
    <n v="2"/>
  </r>
  <r>
    <x v="2"/>
    <n v="0"/>
  </r>
  <r>
    <x v="0"/>
    <n v="1"/>
  </r>
  <r>
    <x v="0"/>
    <n v="3"/>
  </r>
  <r>
    <x v="0"/>
    <n v="3"/>
  </r>
  <r>
    <x v="3"/>
    <n v="5"/>
  </r>
  <r>
    <x v="0"/>
    <n v="2"/>
  </r>
  <r>
    <x v="0"/>
    <n v="3"/>
  </r>
  <r>
    <x v="4"/>
    <n v="4"/>
  </r>
  <r>
    <x v="0"/>
    <n v="2"/>
  </r>
  <r>
    <x v="0"/>
    <n v="2"/>
  </r>
  <r>
    <x v="5"/>
    <n v="6"/>
  </r>
  <r>
    <x v="0"/>
    <n v="5"/>
  </r>
  <r>
    <x v="0"/>
    <n v="5"/>
  </r>
  <r>
    <x v="0"/>
    <n v="4"/>
  </r>
  <r>
    <x v="0"/>
    <n v="5"/>
  </r>
  <r>
    <x v="6"/>
    <n v="6"/>
  </r>
  <r>
    <x v="0"/>
    <n v="4"/>
  </r>
  <r>
    <x v="0"/>
    <n v="4"/>
  </r>
  <r>
    <x v="0"/>
    <n v="5"/>
  </r>
  <r>
    <x v="0"/>
    <n v="5"/>
  </r>
  <r>
    <x v="0"/>
    <n v="4"/>
  </r>
  <r>
    <x v="0"/>
    <n v="3"/>
  </r>
  <r>
    <x v="7"/>
    <n v="5"/>
  </r>
  <r>
    <x v="0"/>
    <n v="4"/>
  </r>
  <r>
    <x v="7"/>
    <n v="5"/>
  </r>
  <r>
    <x v="0"/>
    <n v="5"/>
  </r>
  <r>
    <x v="0"/>
    <n v="3"/>
  </r>
  <r>
    <x v="0"/>
    <n v="5"/>
  </r>
  <r>
    <x v="0"/>
    <n v="3"/>
  </r>
  <r>
    <x v="8"/>
    <n v="2"/>
  </r>
  <r>
    <x v="8"/>
    <n v="5"/>
  </r>
  <r>
    <x v="0"/>
    <n v="4"/>
  </r>
  <r>
    <x v="0"/>
    <n v="4"/>
  </r>
  <r>
    <x v="0"/>
    <n v="4"/>
  </r>
  <r>
    <x v="2"/>
    <n v="2"/>
  </r>
  <r>
    <x v="7"/>
    <n v="0"/>
  </r>
  <r>
    <x v="6"/>
    <n v="1"/>
  </r>
  <r>
    <x v="1"/>
    <n v="1"/>
  </r>
  <r>
    <x v="3"/>
    <n v="1"/>
  </r>
  <r>
    <x v="0"/>
    <n v="5"/>
  </r>
  <r>
    <x v="8"/>
    <n v="3"/>
  </r>
  <r>
    <x v="0"/>
    <n v="3"/>
  </r>
  <r>
    <x v="0"/>
    <n v="4"/>
  </r>
  <r>
    <x v="7"/>
    <n v="4"/>
  </r>
  <r>
    <x v="4"/>
    <n v="1"/>
  </r>
  <r>
    <x v="7"/>
    <n v="4"/>
  </r>
  <r>
    <x v="0"/>
    <n v="3"/>
  </r>
  <r>
    <x v="0"/>
    <n v="4"/>
  </r>
  <r>
    <x v="0"/>
    <n v="5"/>
  </r>
  <r>
    <x v="0"/>
    <n v="5"/>
  </r>
  <r>
    <x v="0"/>
    <n v="4"/>
  </r>
  <r>
    <x v="0"/>
    <n v="4"/>
  </r>
  <r>
    <x v="0"/>
    <n v="4"/>
  </r>
  <r>
    <x v="0"/>
    <n v="4"/>
  </r>
  <r>
    <x v="7"/>
    <n v="4"/>
  </r>
  <r>
    <x v="0"/>
    <n v="4"/>
  </r>
  <r>
    <x v="0"/>
    <n v="5"/>
  </r>
  <r>
    <x v="3"/>
    <n v="3"/>
  </r>
  <r>
    <x v="0"/>
    <n v="4"/>
  </r>
  <r>
    <x v="0"/>
    <n v="5"/>
  </r>
  <r>
    <x v="0"/>
    <n v="4"/>
  </r>
  <r>
    <x v="0"/>
    <n v="5"/>
  </r>
  <r>
    <x v="0"/>
    <n v="3"/>
  </r>
  <r>
    <x v="9"/>
    <n v="3"/>
  </r>
  <r>
    <x v="0"/>
    <n v="4"/>
  </r>
  <r>
    <x v="0"/>
    <n v="4"/>
  </r>
  <r>
    <x v="0"/>
    <n v="3"/>
  </r>
  <r>
    <x v="0"/>
    <n v="5"/>
  </r>
  <r>
    <x v="0"/>
    <n v="4"/>
  </r>
  <r>
    <x v="0"/>
    <n v="4"/>
  </r>
  <r>
    <x v="0"/>
    <n v="3"/>
  </r>
  <r>
    <x v="0"/>
    <n v="3"/>
  </r>
  <r>
    <x v="0"/>
    <n v="4"/>
  </r>
  <r>
    <x v="5"/>
    <n v="5"/>
  </r>
  <r>
    <x v="0"/>
    <n v="3"/>
  </r>
  <r>
    <x v="0"/>
    <n v="3"/>
  </r>
  <r>
    <x v="0"/>
    <n v="4"/>
  </r>
  <r>
    <x v="0"/>
    <n v="5"/>
  </r>
  <r>
    <x v="0"/>
    <n v="4"/>
  </r>
  <r>
    <x v="0"/>
    <n v="4"/>
  </r>
  <r>
    <x v="0"/>
    <n v="3"/>
  </r>
  <r>
    <x v="0"/>
    <n v="5"/>
  </r>
  <r>
    <x v="1"/>
    <n v="5"/>
  </r>
  <r>
    <x v="0"/>
    <n v="5"/>
  </r>
  <r>
    <x v="0"/>
    <n v="5"/>
  </r>
  <r>
    <x v="8"/>
    <n v="3"/>
  </r>
  <r>
    <x v="9"/>
    <n v="1"/>
  </r>
  <r>
    <x v="0"/>
    <n v="5"/>
  </r>
  <r>
    <x v="0"/>
    <n v="3"/>
  </r>
  <r>
    <x v="0"/>
    <n v="5"/>
  </r>
  <r>
    <x v="9"/>
    <n v="3"/>
  </r>
  <r>
    <x v="0"/>
    <n v="5"/>
  </r>
  <r>
    <x v="0"/>
    <n v="4"/>
  </r>
  <r>
    <x v="0"/>
    <n v="5"/>
  </r>
  <r>
    <x v="0"/>
    <n v="4"/>
  </r>
  <r>
    <x v="8"/>
    <n v="5"/>
  </r>
  <r>
    <x v="0"/>
    <n v="5"/>
  </r>
  <r>
    <x v="0"/>
    <n v="4"/>
  </r>
  <r>
    <x v="1"/>
    <n v="0"/>
  </r>
  <r>
    <x v="3"/>
    <n v="0"/>
  </r>
  <r>
    <x v="9"/>
    <n v="1"/>
  </r>
  <r>
    <x v="0"/>
    <n v="3"/>
  </r>
  <r>
    <x v="1"/>
    <n v="3"/>
  </r>
  <r>
    <x v="0"/>
    <n v="3"/>
  </r>
  <r>
    <x v="3"/>
    <n v="2"/>
  </r>
  <r>
    <x v="0"/>
    <n v="5"/>
  </r>
  <r>
    <x v="0"/>
    <n v="3"/>
  </r>
  <r>
    <x v="0"/>
    <n v="3"/>
  </r>
  <r>
    <x v="0"/>
    <n v="3"/>
  </r>
  <r>
    <x v="9"/>
    <n v="4"/>
  </r>
  <r>
    <x v="0"/>
    <n v="5"/>
  </r>
  <r>
    <x v="0"/>
    <n v="3"/>
  </r>
  <r>
    <x v="0"/>
    <n v="3"/>
  </r>
  <r>
    <x v="0"/>
    <n v="5"/>
  </r>
  <r>
    <x v="9"/>
    <n v="4"/>
  </r>
  <r>
    <x v="1"/>
    <n v="5"/>
  </r>
  <r>
    <x v="3"/>
    <n v="0"/>
  </r>
  <r>
    <x v="0"/>
    <n v="4"/>
  </r>
  <r>
    <x v="0"/>
    <n v="5"/>
  </r>
  <r>
    <x v="9"/>
    <n v="0"/>
  </r>
  <r>
    <x v="0"/>
    <n v="5"/>
  </r>
  <r>
    <x v="0"/>
    <n v="3"/>
  </r>
  <r>
    <x v="0"/>
    <n v="3"/>
  </r>
  <r>
    <x v="0"/>
    <n v="5"/>
  </r>
  <r>
    <x v="0"/>
    <n v="3"/>
  </r>
  <r>
    <x v="0"/>
    <n v="4"/>
  </r>
  <r>
    <x v="0"/>
    <n v="5"/>
  </r>
  <r>
    <x v="9"/>
    <n v="2"/>
  </r>
  <r>
    <x v="7"/>
    <n v="1"/>
  </r>
  <r>
    <x v="0"/>
    <n v="4"/>
  </r>
  <r>
    <x v="7"/>
    <n v="5"/>
  </r>
  <r>
    <x v="0"/>
    <n v="5"/>
  </r>
  <r>
    <x v="4"/>
    <n v="1"/>
  </r>
  <r>
    <x v="6"/>
    <n v="1"/>
  </r>
  <r>
    <x v="0"/>
    <n v="5"/>
  </r>
  <r>
    <x v="0"/>
    <n v="5"/>
  </r>
  <r>
    <x v="0"/>
    <n v="3"/>
  </r>
  <r>
    <x v="9"/>
    <n v="5"/>
  </r>
  <r>
    <x v="0"/>
    <n v="5"/>
  </r>
  <r>
    <x v="0"/>
    <n v="4"/>
  </r>
  <r>
    <x v="0"/>
    <n v="5"/>
  </r>
  <r>
    <x v="0"/>
    <n v="4"/>
  </r>
  <r>
    <x v="0"/>
    <n v="3"/>
  </r>
  <r>
    <x v="0"/>
    <n v="3"/>
  </r>
  <r>
    <x v="0"/>
    <n v="4"/>
  </r>
  <r>
    <x v="0"/>
    <n v="5"/>
  </r>
  <r>
    <x v="0"/>
    <n v="4"/>
  </r>
  <r>
    <x v="0"/>
    <n v="5"/>
  </r>
  <r>
    <x v="0"/>
    <n v="4"/>
  </r>
  <r>
    <x v="0"/>
    <n v="4"/>
  </r>
  <r>
    <x v="7"/>
    <n v="3"/>
  </r>
  <r>
    <x v="0"/>
    <n v="3"/>
  </r>
  <r>
    <x v="0"/>
    <n v="3"/>
  </r>
  <r>
    <x v="0"/>
    <n v="4"/>
  </r>
  <r>
    <x v="0"/>
    <n v="4"/>
  </r>
  <r>
    <x v="0"/>
    <n v="3"/>
  </r>
  <r>
    <x v="0"/>
    <n v="5"/>
  </r>
  <r>
    <x v="0"/>
    <n v="4"/>
  </r>
  <r>
    <x v="2"/>
    <n v="4"/>
  </r>
  <r>
    <x v="0"/>
    <n v="3"/>
  </r>
  <r>
    <x v="0"/>
    <n v="5"/>
  </r>
  <r>
    <x v="0"/>
    <n v="5"/>
  </r>
  <r>
    <x v="0"/>
    <n v="4"/>
  </r>
  <r>
    <x v="0"/>
    <n v="5"/>
  </r>
  <r>
    <x v="7"/>
    <n v="4"/>
  </r>
  <r>
    <x v="0"/>
    <n v="5"/>
  </r>
  <r>
    <x v="2"/>
    <n v="1"/>
  </r>
  <r>
    <x v="0"/>
    <n v="3"/>
  </r>
  <r>
    <x v="5"/>
    <n v="4"/>
  </r>
  <r>
    <x v="0"/>
    <n v="4"/>
  </r>
  <r>
    <x v="1"/>
    <n v="5"/>
  </r>
  <r>
    <x v="9"/>
    <n v="5"/>
  </r>
  <r>
    <x v="2"/>
    <n v="3"/>
  </r>
  <r>
    <x v="0"/>
    <n v="5"/>
  </r>
  <r>
    <x v="8"/>
    <n v="4"/>
  </r>
  <r>
    <x v="0"/>
    <n v="3"/>
  </r>
  <r>
    <x v="0"/>
    <n v="5"/>
  </r>
  <r>
    <x v="0"/>
    <n v="4"/>
  </r>
  <r>
    <x v="0"/>
    <n v="5"/>
  </r>
  <r>
    <x v="5"/>
    <n v="5"/>
  </r>
  <r>
    <x v="0"/>
    <n v="4"/>
  </r>
  <r>
    <x v="0"/>
    <n v="3"/>
  </r>
  <r>
    <x v="5"/>
    <n v="3"/>
  </r>
  <r>
    <x v="8"/>
    <n v="2"/>
  </r>
  <r>
    <x v="0"/>
    <n v="3"/>
  </r>
  <r>
    <x v="0"/>
    <n v="4"/>
  </r>
  <r>
    <x v="0"/>
    <n v="3"/>
  </r>
  <r>
    <x v="0"/>
    <n v="3"/>
  </r>
  <r>
    <x v="9"/>
    <n v="0"/>
  </r>
  <r>
    <x v="9"/>
    <n v="3"/>
  </r>
  <r>
    <x v="0"/>
    <n v="4"/>
  </r>
  <r>
    <x v="0"/>
    <n v="5"/>
  </r>
  <r>
    <x v="0"/>
    <n v="3"/>
  </r>
  <r>
    <x v="2"/>
    <n v="3"/>
  </r>
  <r>
    <x v="9"/>
    <n v="4"/>
  </r>
  <r>
    <x v="0"/>
    <n v="5"/>
  </r>
  <r>
    <x v="0"/>
    <n v="5"/>
  </r>
  <r>
    <x v="0"/>
    <n v="3"/>
  </r>
  <r>
    <x v="9"/>
    <n v="1"/>
  </r>
  <r>
    <x v="1"/>
    <n v="3"/>
  </r>
  <r>
    <x v="2"/>
    <n v="0"/>
  </r>
  <r>
    <x v="1"/>
    <n v="1"/>
  </r>
  <r>
    <x v="1"/>
    <n v="1"/>
  </r>
  <r>
    <x v="0"/>
    <n v="5"/>
  </r>
  <r>
    <x v="0"/>
    <n v="5"/>
  </r>
  <r>
    <x v="0"/>
    <n v="5"/>
  </r>
  <r>
    <x v="0"/>
    <n v="3"/>
  </r>
  <r>
    <x v="4"/>
    <n v="4"/>
  </r>
  <r>
    <x v="0"/>
    <n v="4"/>
  </r>
  <r>
    <x v="0"/>
    <n v="5"/>
  </r>
  <r>
    <x v="0"/>
    <n v="5"/>
  </r>
  <r>
    <x v="0"/>
    <n v="5"/>
  </r>
  <r>
    <x v="5"/>
    <n v="2"/>
  </r>
  <r>
    <x v="9"/>
    <n v="5"/>
  </r>
  <r>
    <x v="0"/>
    <n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2"/>
  </r>
  <r>
    <x v="1"/>
    <n v="3"/>
  </r>
  <r>
    <x v="2"/>
    <n v="1"/>
  </r>
  <r>
    <x v="3"/>
    <n v="6"/>
  </r>
  <r>
    <x v="1"/>
    <n v="2"/>
  </r>
  <r>
    <x v="4"/>
    <n v="0"/>
  </r>
  <r>
    <x v="5"/>
    <n v="0"/>
  </r>
  <r>
    <x v="1"/>
    <n v="1"/>
  </r>
  <r>
    <x v="1"/>
    <n v="3"/>
  </r>
  <r>
    <x v="4"/>
    <n v="4"/>
  </r>
  <r>
    <x v="1"/>
    <n v="3"/>
  </r>
  <r>
    <x v="6"/>
    <n v="5"/>
  </r>
  <r>
    <x v="1"/>
    <n v="5"/>
  </r>
  <r>
    <x v="1"/>
    <n v="2"/>
  </r>
  <r>
    <x v="4"/>
    <n v="0"/>
  </r>
  <r>
    <x v="6"/>
    <n v="2"/>
  </r>
  <r>
    <x v="4"/>
    <n v="5"/>
  </r>
  <r>
    <x v="1"/>
    <n v="3"/>
  </r>
  <r>
    <x v="0"/>
    <n v="2"/>
  </r>
  <r>
    <x v="1"/>
    <n v="5"/>
  </r>
  <r>
    <x v="6"/>
    <n v="3"/>
  </r>
  <r>
    <x v="7"/>
    <n v="4"/>
  </r>
  <r>
    <x v="7"/>
    <n v="0"/>
  </r>
  <r>
    <x v="6"/>
    <n v="2"/>
  </r>
  <r>
    <x v="1"/>
    <n v="2"/>
  </r>
  <r>
    <x v="6"/>
    <n v="4"/>
  </r>
  <r>
    <x v="5"/>
    <n v="3"/>
  </r>
  <r>
    <x v="1"/>
    <n v="4"/>
  </r>
  <r>
    <x v="1"/>
    <n v="2"/>
  </r>
  <r>
    <x v="1"/>
    <n v="3"/>
  </r>
  <r>
    <x v="4"/>
    <n v="4"/>
  </r>
  <r>
    <x v="1"/>
    <n v="2"/>
  </r>
  <r>
    <x v="5"/>
    <n v="3"/>
  </r>
  <r>
    <x v="4"/>
    <n v="6"/>
  </r>
  <r>
    <x v="1"/>
    <n v="5"/>
  </r>
  <r>
    <x v="1"/>
    <n v="2"/>
  </r>
  <r>
    <x v="1"/>
    <n v="7"/>
  </r>
  <r>
    <x v="1"/>
    <n v="5"/>
  </r>
  <r>
    <x v="1"/>
    <n v="2"/>
  </r>
  <r>
    <x v="1"/>
    <n v="4"/>
  </r>
  <r>
    <x v="2"/>
    <n v="1"/>
  </r>
  <r>
    <x v="1"/>
    <n v="5"/>
  </r>
  <r>
    <x v="4"/>
    <n v="3"/>
  </r>
  <r>
    <x v="0"/>
    <n v="6"/>
  </r>
  <r>
    <x v="1"/>
    <n v="4"/>
  </r>
  <r>
    <x v="1"/>
    <n v="4"/>
  </r>
  <r>
    <x v="1"/>
    <n v="5"/>
  </r>
  <r>
    <x v="1"/>
    <n v="5"/>
  </r>
  <r>
    <x v="8"/>
    <n v="3"/>
  </r>
  <r>
    <x v="1"/>
    <n v="4"/>
  </r>
  <r>
    <x v="1"/>
    <n v="3"/>
  </r>
  <r>
    <x v="2"/>
    <n v="5"/>
  </r>
  <r>
    <x v="1"/>
    <n v="4"/>
  </r>
  <r>
    <x v="7"/>
    <n v="4"/>
  </r>
  <r>
    <x v="2"/>
    <n v="5"/>
  </r>
  <r>
    <x v="1"/>
    <n v="5"/>
  </r>
  <r>
    <x v="1"/>
    <n v="3"/>
  </r>
  <r>
    <x v="1"/>
    <n v="5"/>
  </r>
  <r>
    <x v="1"/>
    <n v="3"/>
  </r>
  <r>
    <x v="1"/>
    <n v="3"/>
  </r>
  <r>
    <x v="0"/>
    <n v="4"/>
  </r>
  <r>
    <x v="8"/>
    <n v="2"/>
  </r>
  <r>
    <x v="4"/>
    <n v="1"/>
  </r>
  <r>
    <x v="8"/>
    <n v="5"/>
  </r>
  <r>
    <x v="1"/>
    <n v="4"/>
  </r>
  <r>
    <x v="1"/>
    <n v="4"/>
  </r>
  <r>
    <x v="8"/>
    <n v="4"/>
  </r>
  <r>
    <x v="1"/>
    <n v="4"/>
  </r>
  <r>
    <x v="5"/>
    <n v="2"/>
  </r>
  <r>
    <x v="0"/>
    <n v="1"/>
  </r>
  <r>
    <x v="0"/>
    <n v="2"/>
  </r>
  <r>
    <x v="2"/>
    <n v="0"/>
  </r>
  <r>
    <x v="0"/>
    <n v="1"/>
  </r>
  <r>
    <x v="6"/>
    <n v="1"/>
  </r>
  <r>
    <x v="3"/>
    <n v="1"/>
  </r>
  <r>
    <x v="6"/>
    <n v="1"/>
  </r>
  <r>
    <x v="5"/>
    <n v="0"/>
  </r>
  <r>
    <x v="1"/>
    <n v="5"/>
  </r>
  <r>
    <x v="5"/>
    <n v="3"/>
  </r>
  <r>
    <x v="5"/>
    <n v="5"/>
  </r>
  <r>
    <x v="8"/>
    <n v="3"/>
  </r>
  <r>
    <x v="1"/>
    <n v="3"/>
  </r>
  <r>
    <x v="2"/>
    <n v="5"/>
  </r>
  <r>
    <x v="0"/>
    <n v="3"/>
  </r>
  <r>
    <x v="8"/>
    <n v="0"/>
  </r>
  <r>
    <x v="1"/>
    <n v="4"/>
  </r>
  <r>
    <x v="2"/>
    <n v="4"/>
  </r>
  <r>
    <x v="4"/>
    <n v="3"/>
  </r>
  <r>
    <x v="6"/>
    <n v="1"/>
  </r>
  <r>
    <x v="4"/>
    <n v="2"/>
  </r>
  <r>
    <x v="7"/>
    <n v="1"/>
  </r>
  <r>
    <x v="2"/>
    <n v="4"/>
  </r>
  <r>
    <x v="4"/>
    <n v="0"/>
  </r>
  <r>
    <x v="7"/>
    <n v="0"/>
  </r>
  <r>
    <x v="2"/>
    <n v="4"/>
  </r>
  <r>
    <x v="0"/>
    <n v="2"/>
  </r>
  <r>
    <x v="1"/>
    <n v="3"/>
  </r>
  <r>
    <x v="1"/>
    <n v="4"/>
  </r>
  <r>
    <x v="3"/>
    <n v="4"/>
  </r>
  <r>
    <x v="1"/>
    <n v="5"/>
  </r>
  <r>
    <x v="8"/>
    <n v="0"/>
  </r>
  <r>
    <x v="0"/>
    <n v="5"/>
  </r>
  <r>
    <x v="1"/>
    <n v="5"/>
  </r>
  <r>
    <x v="0"/>
    <n v="2"/>
  </r>
  <r>
    <x v="1"/>
    <n v="1"/>
  </r>
  <r>
    <x v="1"/>
    <n v="4"/>
  </r>
  <r>
    <x v="2"/>
    <n v="1"/>
  </r>
  <r>
    <x v="7"/>
    <n v="2"/>
  </r>
  <r>
    <x v="1"/>
    <n v="1"/>
  </r>
  <r>
    <x v="1"/>
    <n v="4"/>
  </r>
  <r>
    <x v="1"/>
    <n v="4"/>
  </r>
  <r>
    <x v="0"/>
    <n v="4"/>
  </r>
  <r>
    <x v="1"/>
    <n v="2"/>
  </r>
  <r>
    <x v="1"/>
    <n v="4"/>
  </r>
  <r>
    <x v="2"/>
    <n v="4"/>
  </r>
  <r>
    <x v="5"/>
    <n v="0"/>
  </r>
  <r>
    <x v="7"/>
    <n v="1"/>
  </r>
  <r>
    <x v="3"/>
    <n v="0"/>
  </r>
  <r>
    <x v="1"/>
    <n v="4"/>
  </r>
  <r>
    <x v="1"/>
    <n v="5"/>
  </r>
  <r>
    <x v="1"/>
    <n v="4"/>
  </r>
  <r>
    <x v="2"/>
    <n v="4"/>
  </r>
  <r>
    <x v="8"/>
    <n v="1"/>
  </r>
  <r>
    <x v="6"/>
    <n v="3"/>
  </r>
  <r>
    <x v="3"/>
    <n v="0"/>
  </r>
  <r>
    <x v="5"/>
    <n v="1"/>
  </r>
  <r>
    <x v="2"/>
    <n v="4"/>
  </r>
  <r>
    <x v="1"/>
    <n v="2"/>
  </r>
  <r>
    <x v="1"/>
    <n v="4"/>
  </r>
  <r>
    <x v="1"/>
    <n v="2"/>
  </r>
  <r>
    <x v="1"/>
    <n v="5"/>
  </r>
  <r>
    <x v="1"/>
    <n v="4"/>
  </r>
  <r>
    <x v="2"/>
    <n v="3"/>
  </r>
  <r>
    <x v="6"/>
    <n v="1"/>
  </r>
  <r>
    <x v="1"/>
    <n v="5"/>
  </r>
  <r>
    <x v="1"/>
    <n v="3"/>
  </r>
  <r>
    <x v="9"/>
    <n v="3"/>
  </r>
  <r>
    <x v="1"/>
    <n v="4"/>
  </r>
  <r>
    <x v="1"/>
    <n v="4"/>
  </r>
  <r>
    <x v="6"/>
    <n v="2"/>
  </r>
  <r>
    <x v="1"/>
    <n v="3"/>
  </r>
  <r>
    <x v="1"/>
    <n v="2"/>
  </r>
  <r>
    <x v="4"/>
    <n v="5"/>
  </r>
  <r>
    <x v="1"/>
    <n v="5"/>
  </r>
  <r>
    <x v="6"/>
    <n v="1"/>
  </r>
  <r>
    <x v="3"/>
    <n v="1"/>
  </r>
  <r>
    <x v="1"/>
    <n v="4"/>
  </r>
  <r>
    <x v="1"/>
    <n v="4"/>
  </r>
  <r>
    <x v="8"/>
    <n v="2"/>
  </r>
  <r>
    <x v="4"/>
    <n v="5"/>
  </r>
  <r>
    <x v="1"/>
    <n v="4"/>
  </r>
  <r>
    <x v="1"/>
    <n v="3"/>
  </r>
  <r>
    <x v="1"/>
    <n v="3"/>
  </r>
  <r>
    <x v="1"/>
    <n v="4"/>
  </r>
  <r>
    <x v="4"/>
    <n v="5"/>
  </r>
  <r>
    <x v="0"/>
    <n v="1"/>
  </r>
  <r>
    <x v="1"/>
    <n v="3"/>
  </r>
  <r>
    <x v="1"/>
    <n v="3"/>
  </r>
  <r>
    <x v="1"/>
    <n v="6"/>
  </r>
  <r>
    <x v="1"/>
    <n v="3"/>
  </r>
  <r>
    <x v="1"/>
    <n v="4"/>
  </r>
  <r>
    <x v="2"/>
    <n v="1"/>
  </r>
  <r>
    <x v="8"/>
    <n v="5"/>
  </r>
  <r>
    <x v="1"/>
    <n v="5"/>
  </r>
  <r>
    <x v="4"/>
    <n v="3"/>
  </r>
  <r>
    <x v="2"/>
    <n v="4"/>
  </r>
  <r>
    <x v="1"/>
    <n v="4"/>
  </r>
  <r>
    <x v="1"/>
    <n v="4"/>
  </r>
  <r>
    <x v="2"/>
    <n v="3"/>
  </r>
  <r>
    <x v="1"/>
    <n v="3"/>
  </r>
  <r>
    <x v="1"/>
    <n v="5"/>
  </r>
  <r>
    <x v="3"/>
    <n v="5"/>
  </r>
  <r>
    <x v="9"/>
    <n v="3"/>
  </r>
  <r>
    <x v="1"/>
    <n v="5"/>
  </r>
  <r>
    <x v="1"/>
    <n v="5"/>
  </r>
  <r>
    <x v="8"/>
    <n v="3"/>
  </r>
  <r>
    <x v="9"/>
    <n v="1"/>
  </r>
  <r>
    <x v="0"/>
    <n v="3"/>
  </r>
  <r>
    <x v="1"/>
    <n v="5"/>
  </r>
  <r>
    <x v="8"/>
    <n v="0"/>
  </r>
  <r>
    <x v="3"/>
    <n v="1"/>
  </r>
  <r>
    <x v="7"/>
    <n v="4"/>
  </r>
  <r>
    <x v="1"/>
    <n v="6"/>
  </r>
  <r>
    <x v="9"/>
    <n v="1"/>
  </r>
  <r>
    <x v="2"/>
    <n v="5"/>
  </r>
  <r>
    <x v="1"/>
    <n v="3"/>
  </r>
  <r>
    <x v="5"/>
    <n v="2"/>
  </r>
  <r>
    <x v="1"/>
    <n v="5"/>
  </r>
  <r>
    <x v="1"/>
    <n v="3"/>
  </r>
  <r>
    <x v="3"/>
    <n v="5"/>
  </r>
  <r>
    <x v="9"/>
    <n v="3"/>
  </r>
  <r>
    <x v="4"/>
    <n v="1"/>
  </r>
  <r>
    <x v="1"/>
    <n v="7"/>
  </r>
  <r>
    <x v="4"/>
    <n v="2"/>
  </r>
  <r>
    <x v="1"/>
    <n v="5"/>
  </r>
  <r>
    <x v="9"/>
    <n v="1"/>
  </r>
  <r>
    <x v="1"/>
    <n v="4"/>
  </r>
  <r>
    <x v="1"/>
    <n v="5"/>
  </r>
  <r>
    <x v="0"/>
    <n v="4"/>
  </r>
  <r>
    <x v="6"/>
    <n v="1"/>
  </r>
  <r>
    <x v="7"/>
    <n v="3"/>
  </r>
  <r>
    <x v="1"/>
    <n v="4"/>
  </r>
  <r>
    <x v="5"/>
    <n v="2"/>
  </r>
  <r>
    <x v="5"/>
    <n v="4"/>
  </r>
  <r>
    <x v="9"/>
    <n v="4"/>
  </r>
  <r>
    <x v="8"/>
    <n v="5"/>
  </r>
  <r>
    <x v="9"/>
    <n v="0"/>
  </r>
  <r>
    <x v="1"/>
    <n v="5"/>
  </r>
  <r>
    <x v="3"/>
    <n v="5"/>
  </r>
  <r>
    <x v="6"/>
    <n v="1"/>
  </r>
  <r>
    <x v="9"/>
    <n v="2"/>
  </r>
  <r>
    <x v="1"/>
    <n v="4"/>
  </r>
  <r>
    <x v="2"/>
    <n v="2"/>
  </r>
  <r>
    <x v="3"/>
    <n v="0"/>
  </r>
  <r>
    <x v="3"/>
    <n v="0"/>
  </r>
  <r>
    <x v="6"/>
    <n v="0"/>
  </r>
  <r>
    <x v="3"/>
    <n v="1"/>
  </r>
  <r>
    <x v="5"/>
    <n v="0"/>
  </r>
  <r>
    <x v="6"/>
    <n v="0"/>
  </r>
  <r>
    <x v="5"/>
    <n v="0"/>
  </r>
  <r>
    <x v="9"/>
    <n v="1"/>
  </r>
  <r>
    <x v="5"/>
    <n v="2"/>
  </r>
  <r>
    <x v="1"/>
    <n v="3"/>
  </r>
  <r>
    <x v="3"/>
    <n v="3"/>
  </r>
  <r>
    <x v="1"/>
    <n v="3"/>
  </r>
  <r>
    <x v="8"/>
    <n v="0"/>
  </r>
  <r>
    <x v="6"/>
    <n v="2"/>
  </r>
  <r>
    <x v="5"/>
    <n v="5"/>
  </r>
  <r>
    <x v="0"/>
    <n v="0"/>
  </r>
  <r>
    <x v="1"/>
    <n v="5"/>
  </r>
  <r>
    <x v="1"/>
    <n v="3"/>
  </r>
  <r>
    <x v="1"/>
    <n v="3"/>
  </r>
  <r>
    <x v="0"/>
    <n v="5"/>
  </r>
  <r>
    <x v="1"/>
    <n v="3"/>
  </r>
  <r>
    <x v="6"/>
    <n v="2"/>
  </r>
  <r>
    <x v="8"/>
    <n v="0"/>
  </r>
  <r>
    <x v="1"/>
    <n v="3"/>
  </r>
  <r>
    <x v="2"/>
    <n v="3"/>
  </r>
  <r>
    <x v="9"/>
    <n v="5"/>
  </r>
  <r>
    <x v="5"/>
    <n v="3"/>
  </r>
  <r>
    <x v="3"/>
    <n v="1"/>
  </r>
  <r>
    <x v="9"/>
    <n v="4"/>
  </r>
  <r>
    <x v="6"/>
    <n v="5"/>
  </r>
  <r>
    <x v="1"/>
    <n v="5"/>
  </r>
  <r>
    <x v="2"/>
    <n v="2"/>
  </r>
  <r>
    <x v="1"/>
    <n v="3"/>
  </r>
  <r>
    <x v="1"/>
    <n v="3"/>
  </r>
  <r>
    <x v="1"/>
    <n v="5"/>
  </r>
  <r>
    <x v="0"/>
    <n v="0"/>
  </r>
  <r>
    <x v="9"/>
    <n v="4"/>
  </r>
  <r>
    <x v="0"/>
    <n v="5"/>
  </r>
  <r>
    <x v="6"/>
    <n v="1"/>
  </r>
  <r>
    <x v="0"/>
    <n v="5"/>
  </r>
  <r>
    <x v="3"/>
    <n v="5"/>
  </r>
  <r>
    <x v="6"/>
    <n v="0"/>
  </r>
  <r>
    <x v="6"/>
    <n v="5"/>
  </r>
  <r>
    <x v="1"/>
    <n v="4"/>
  </r>
  <r>
    <x v="7"/>
    <n v="2"/>
  </r>
  <r>
    <x v="1"/>
    <n v="5"/>
  </r>
  <r>
    <x v="2"/>
    <n v="4"/>
  </r>
  <r>
    <x v="9"/>
    <n v="0"/>
  </r>
  <r>
    <x v="1"/>
    <n v="5"/>
  </r>
  <r>
    <x v="4"/>
    <n v="0"/>
  </r>
  <r>
    <x v="1"/>
    <n v="3"/>
  </r>
  <r>
    <x v="1"/>
    <n v="3"/>
  </r>
  <r>
    <x v="3"/>
    <n v="1"/>
  </r>
  <r>
    <x v="6"/>
    <n v="3"/>
  </r>
  <r>
    <x v="1"/>
    <n v="5"/>
  </r>
  <r>
    <x v="1"/>
    <n v="6"/>
  </r>
  <r>
    <x v="1"/>
    <n v="3"/>
  </r>
  <r>
    <x v="3"/>
    <n v="3"/>
  </r>
  <r>
    <x v="1"/>
    <n v="3"/>
  </r>
  <r>
    <x v="8"/>
    <n v="0"/>
  </r>
  <r>
    <x v="6"/>
    <n v="1"/>
  </r>
  <r>
    <x v="9"/>
    <n v="2"/>
  </r>
  <r>
    <x v="3"/>
    <n v="1"/>
  </r>
  <r>
    <x v="8"/>
    <n v="2"/>
  </r>
  <r>
    <x v="7"/>
    <n v="0"/>
  </r>
  <r>
    <x v="0"/>
    <n v="0"/>
  </r>
  <r>
    <x v="1"/>
    <n v="4"/>
  </r>
  <r>
    <x v="4"/>
    <n v="0"/>
  </r>
  <r>
    <x v="1"/>
    <n v="2"/>
  </r>
  <r>
    <x v="9"/>
    <n v="3"/>
  </r>
  <r>
    <x v="1"/>
    <n v="2"/>
  </r>
  <r>
    <x v="1"/>
    <n v="5"/>
  </r>
  <r>
    <x v="2"/>
    <n v="4"/>
  </r>
  <r>
    <x v="9"/>
    <n v="0"/>
  </r>
  <r>
    <x v="8"/>
    <n v="3"/>
  </r>
  <r>
    <x v="9"/>
    <n v="2"/>
  </r>
  <r>
    <x v="2"/>
    <n v="1"/>
  </r>
  <r>
    <x v="7"/>
    <n v="2"/>
  </r>
  <r>
    <x v="0"/>
    <n v="2"/>
  </r>
  <r>
    <x v="3"/>
    <n v="0"/>
  </r>
  <r>
    <x v="8"/>
    <n v="1"/>
  </r>
  <r>
    <x v="1"/>
    <n v="4"/>
  </r>
  <r>
    <x v="2"/>
    <n v="5"/>
  </r>
  <r>
    <x v="5"/>
    <n v="1"/>
  </r>
  <r>
    <x v="6"/>
    <n v="3"/>
  </r>
  <r>
    <x v="0"/>
    <n v="3"/>
  </r>
  <r>
    <x v="0"/>
    <n v="3"/>
  </r>
  <r>
    <x v="2"/>
    <n v="5"/>
  </r>
  <r>
    <x v="5"/>
    <n v="1"/>
  </r>
  <r>
    <x v="6"/>
    <n v="1"/>
  </r>
  <r>
    <x v="5"/>
    <n v="3"/>
  </r>
  <r>
    <x v="1"/>
    <n v="5"/>
  </r>
  <r>
    <x v="7"/>
    <n v="3"/>
  </r>
  <r>
    <x v="7"/>
    <n v="1"/>
  </r>
  <r>
    <x v="0"/>
    <n v="1"/>
  </r>
  <r>
    <x v="1"/>
    <n v="5"/>
  </r>
  <r>
    <x v="1"/>
    <n v="5"/>
  </r>
  <r>
    <x v="9"/>
    <n v="2"/>
  </r>
  <r>
    <x v="1"/>
    <n v="4"/>
  </r>
  <r>
    <x v="1"/>
    <n v="7"/>
  </r>
  <r>
    <x v="3"/>
    <n v="2"/>
  </r>
  <r>
    <x v="1"/>
    <n v="3"/>
  </r>
  <r>
    <x v="0"/>
    <n v="1"/>
  </r>
  <r>
    <x v="9"/>
    <n v="5"/>
  </r>
  <r>
    <x v="1"/>
    <n v="5"/>
  </r>
  <r>
    <x v="2"/>
    <n v="0"/>
  </r>
  <r>
    <x v="1"/>
    <n v="2"/>
  </r>
  <r>
    <x v="1"/>
    <n v="4"/>
  </r>
  <r>
    <x v="4"/>
    <n v="5"/>
  </r>
  <r>
    <x v="1"/>
    <n v="5"/>
  </r>
  <r>
    <x v="6"/>
    <n v="5"/>
  </r>
  <r>
    <x v="1"/>
    <n v="4"/>
  </r>
  <r>
    <x v="9"/>
    <n v="1"/>
  </r>
  <r>
    <x v="1"/>
    <n v="3"/>
  </r>
  <r>
    <x v="0"/>
    <n v="2"/>
  </r>
  <r>
    <x v="8"/>
    <n v="5"/>
  </r>
  <r>
    <x v="3"/>
    <n v="1"/>
  </r>
  <r>
    <x v="7"/>
    <n v="4"/>
  </r>
  <r>
    <x v="1"/>
    <n v="3"/>
  </r>
  <r>
    <x v="1"/>
    <n v="4"/>
  </r>
  <r>
    <x v="1"/>
    <n v="5"/>
  </r>
  <r>
    <x v="9"/>
    <n v="3"/>
  </r>
  <r>
    <x v="1"/>
    <n v="4"/>
  </r>
  <r>
    <x v="3"/>
    <n v="0"/>
  </r>
  <r>
    <x v="9"/>
    <n v="2"/>
  </r>
  <r>
    <x v="1"/>
    <n v="4"/>
  </r>
  <r>
    <x v="1"/>
    <n v="5"/>
  </r>
  <r>
    <x v="1"/>
    <n v="4"/>
  </r>
  <r>
    <x v="5"/>
    <n v="0"/>
  </r>
  <r>
    <x v="8"/>
    <n v="3"/>
  </r>
  <r>
    <x v="3"/>
    <n v="2"/>
  </r>
  <r>
    <x v="7"/>
    <n v="5"/>
  </r>
  <r>
    <x v="1"/>
    <n v="4"/>
  </r>
  <r>
    <x v="9"/>
    <n v="4"/>
  </r>
  <r>
    <x v="2"/>
    <n v="3"/>
  </r>
  <r>
    <x v="1"/>
    <n v="3"/>
  </r>
  <r>
    <x v="8"/>
    <n v="2"/>
  </r>
  <r>
    <x v="4"/>
    <n v="2"/>
  </r>
  <r>
    <x v="9"/>
    <n v="4"/>
  </r>
  <r>
    <x v="1"/>
    <n v="3"/>
  </r>
  <r>
    <x v="9"/>
    <n v="1"/>
  </r>
  <r>
    <x v="0"/>
    <n v="5"/>
  </r>
  <r>
    <x v="1"/>
    <n v="3"/>
  </r>
  <r>
    <x v="3"/>
    <n v="1"/>
  </r>
  <r>
    <x v="5"/>
    <n v="5"/>
  </r>
  <r>
    <x v="1"/>
    <n v="3"/>
  </r>
  <r>
    <x v="6"/>
    <n v="4"/>
  </r>
  <r>
    <x v="1"/>
    <n v="4"/>
  </r>
  <r>
    <x v="5"/>
    <n v="2"/>
  </r>
  <r>
    <x v="1"/>
    <n v="2"/>
  </r>
  <r>
    <x v="1"/>
    <n v="4"/>
  </r>
  <r>
    <x v="1"/>
    <n v="3"/>
  </r>
  <r>
    <x v="1"/>
    <n v="5"/>
  </r>
  <r>
    <x v="3"/>
    <n v="0"/>
  </r>
  <r>
    <x v="1"/>
    <n v="1"/>
  </r>
  <r>
    <x v="1"/>
    <n v="4"/>
  </r>
  <r>
    <x v="7"/>
    <n v="3"/>
  </r>
  <r>
    <x v="1"/>
    <n v="4"/>
  </r>
  <r>
    <x v="6"/>
    <n v="5"/>
  </r>
  <r>
    <x v="3"/>
    <n v="1"/>
  </r>
  <r>
    <x v="4"/>
    <n v="2"/>
  </r>
  <r>
    <x v="2"/>
    <n v="0"/>
  </r>
  <r>
    <x v="5"/>
    <n v="4"/>
  </r>
  <r>
    <x v="9"/>
    <n v="4"/>
  </r>
  <r>
    <x v="1"/>
    <n v="3"/>
  </r>
  <r>
    <x v="1"/>
    <n v="5"/>
  </r>
  <r>
    <x v="1"/>
    <n v="5"/>
  </r>
  <r>
    <x v="1"/>
    <n v="4"/>
  </r>
  <r>
    <x v="2"/>
    <n v="3"/>
  </r>
  <r>
    <x v="1"/>
    <n v="5"/>
  </r>
  <r>
    <x v="1"/>
    <n v="3"/>
  </r>
  <r>
    <x v="2"/>
    <n v="4"/>
  </r>
  <r>
    <x v="1"/>
    <n v="5"/>
  </r>
  <r>
    <x v="5"/>
    <n v="1"/>
  </r>
  <r>
    <x v="1"/>
    <n v="3"/>
  </r>
  <r>
    <x v="4"/>
    <n v="4"/>
  </r>
  <r>
    <x v="1"/>
    <n v="4"/>
  </r>
  <r>
    <x v="9"/>
    <n v="0"/>
  </r>
  <r>
    <x v="9"/>
    <n v="4"/>
  </r>
  <r>
    <x v="1"/>
    <n v="5"/>
  </r>
  <r>
    <x v="1"/>
    <n v="3"/>
  </r>
  <r>
    <x v="7"/>
    <n v="0"/>
  </r>
  <r>
    <x v="3"/>
    <n v="5"/>
  </r>
  <r>
    <x v="4"/>
    <n v="4"/>
  </r>
  <r>
    <x v="1"/>
    <n v="2"/>
  </r>
  <r>
    <x v="6"/>
    <n v="2"/>
  </r>
  <r>
    <x v="1"/>
    <n v="2"/>
  </r>
  <r>
    <x v="1"/>
    <n v="4"/>
  </r>
  <r>
    <x v="9"/>
    <n v="1"/>
  </r>
  <r>
    <x v="9"/>
    <n v="4"/>
  </r>
  <r>
    <x v="2"/>
    <n v="1"/>
  </r>
  <r>
    <x v="8"/>
    <n v="4"/>
  </r>
  <r>
    <x v="9"/>
    <n v="5"/>
  </r>
  <r>
    <x v="8"/>
    <n v="2"/>
  </r>
  <r>
    <x v="2"/>
    <n v="1"/>
  </r>
  <r>
    <x v="8"/>
    <n v="1"/>
  </r>
  <r>
    <x v="1"/>
    <n v="4"/>
  </r>
  <r>
    <x v="5"/>
    <n v="3"/>
  </r>
  <r>
    <x v="1"/>
    <n v="5"/>
  </r>
  <r>
    <x v="1"/>
    <n v="4"/>
  </r>
  <r>
    <x v="1"/>
    <n v="6"/>
  </r>
  <r>
    <x v="8"/>
    <n v="4"/>
  </r>
  <r>
    <x v="8"/>
    <n v="1"/>
  </r>
  <r>
    <x v="3"/>
    <n v="0"/>
  </r>
  <r>
    <x v="1"/>
    <n v="3"/>
  </r>
  <r>
    <x v="1"/>
    <n v="5"/>
  </r>
  <r>
    <x v="3"/>
    <n v="1"/>
  </r>
  <r>
    <x v="1"/>
    <n v="4"/>
  </r>
  <r>
    <x v="7"/>
    <n v="3"/>
  </r>
  <r>
    <x v="8"/>
    <n v="4"/>
  </r>
  <r>
    <x v="1"/>
    <n v="5"/>
  </r>
  <r>
    <x v="4"/>
    <n v="5"/>
  </r>
  <r>
    <x v="1"/>
    <n v="4"/>
  </r>
  <r>
    <x v="1"/>
    <n v="2"/>
  </r>
  <r>
    <x v="1"/>
    <n v="3"/>
  </r>
  <r>
    <x v="9"/>
    <n v="0"/>
  </r>
  <r>
    <x v="4"/>
    <n v="3"/>
  </r>
  <r>
    <x v="8"/>
    <n v="2"/>
  </r>
  <r>
    <x v="1"/>
    <n v="3"/>
  </r>
  <r>
    <x v="1"/>
    <n v="1"/>
  </r>
  <r>
    <x v="8"/>
    <n v="5"/>
  </r>
  <r>
    <x v="1"/>
    <n v="4"/>
  </r>
  <r>
    <x v="9"/>
    <n v="1"/>
  </r>
  <r>
    <x v="7"/>
    <n v="2"/>
  </r>
  <r>
    <x v="3"/>
    <n v="2"/>
  </r>
  <r>
    <x v="1"/>
    <n v="3"/>
  </r>
  <r>
    <x v="5"/>
    <n v="1"/>
  </r>
  <r>
    <x v="1"/>
    <n v="3"/>
  </r>
  <r>
    <x v="9"/>
    <n v="0"/>
  </r>
  <r>
    <x v="6"/>
    <n v="0"/>
  </r>
  <r>
    <x v="9"/>
    <n v="3"/>
  </r>
  <r>
    <x v="1"/>
    <n v="3"/>
  </r>
  <r>
    <x v="4"/>
    <n v="5"/>
  </r>
  <r>
    <x v="1"/>
    <n v="4"/>
  </r>
  <r>
    <x v="9"/>
    <n v="0"/>
  </r>
  <r>
    <x v="5"/>
    <n v="3"/>
  </r>
  <r>
    <x v="9"/>
    <n v="2"/>
  </r>
  <r>
    <x v="7"/>
    <n v="2"/>
  </r>
  <r>
    <x v="1"/>
    <n v="5"/>
  </r>
  <r>
    <x v="2"/>
    <n v="0"/>
  </r>
  <r>
    <x v="1"/>
    <n v="3"/>
  </r>
  <r>
    <x v="2"/>
    <n v="3"/>
  </r>
  <r>
    <x v="3"/>
    <n v="3"/>
  </r>
  <r>
    <x v="4"/>
    <n v="4"/>
  </r>
  <r>
    <x v="2"/>
    <n v="4"/>
  </r>
  <r>
    <x v="5"/>
    <n v="4"/>
  </r>
  <r>
    <x v="5"/>
    <n v="3"/>
  </r>
  <r>
    <x v="9"/>
    <n v="4"/>
  </r>
  <r>
    <x v="1"/>
    <n v="5"/>
  </r>
  <r>
    <x v="1"/>
    <n v="5"/>
  </r>
  <r>
    <x v="9"/>
    <n v="1"/>
  </r>
  <r>
    <x v="9"/>
    <n v="2"/>
  </r>
  <r>
    <x v="7"/>
    <n v="1"/>
  </r>
  <r>
    <x v="1"/>
    <n v="3"/>
  </r>
  <r>
    <x v="9"/>
    <n v="1"/>
  </r>
  <r>
    <x v="7"/>
    <n v="5"/>
  </r>
  <r>
    <x v="3"/>
    <n v="3"/>
  </r>
  <r>
    <x v="7"/>
    <n v="2"/>
  </r>
  <r>
    <x v="7"/>
    <n v="3"/>
  </r>
  <r>
    <x v="2"/>
    <n v="5"/>
  </r>
  <r>
    <x v="5"/>
    <n v="0"/>
  </r>
  <r>
    <x v="7"/>
    <n v="1"/>
  </r>
  <r>
    <x v="4"/>
    <n v="3"/>
  </r>
  <r>
    <x v="3"/>
    <n v="1"/>
  </r>
  <r>
    <x v="2"/>
    <n v="0"/>
  </r>
  <r>
    <x v="3"/>
    <n v="1"/>
  </r>
  <r>
    <x v="1"/>
    <n v="5"/>
  </r>
  <r>
    <x v="1"/>
    <n v="5"/>
  </r>
  <r>
    <x v="4"/>
    <n v="3"/>
  </r>
  <r>
    <x v="4"/>
    <n v="2"/>
  </r>
  <r>
    <x v="1"/>
    <n v="5"/>
  </r>
  <r>
    <x v="6"/>
    <n v="2"/>
  </r>
  <r>
    <x v="1"/>
    <n v="3"/>
  </r>
  <r>
    <x v="7"/>
    <n v="4"/>
  </r>
  <r>
    <x v="1"/>
    <n v="2"/>
  </r>
  <r>
    <x v="1"/>
    <n v="2"/>
  </r>
  <r>
    <x v="4"/>
    <n v="3"/>
  </r>
  <r>
    <x v="1"/>
    <n v="4"/>
  </r>
  <r>
    <x v="0"/>
    <n v="3"/>
  </r>
  <r>
    <x v="1"/>
    <n v="5"/>
  </r>
  <r>
    <x v="7"/>
    <n v="5"/>
  </r>
  <r>
    <x v="1"/>
    <n v="5"/>
  </r>
  <r>
    <x v="1"/>
    <n v="5"/>
  </r>
  <r>
    <x v="4"/>
    <n v="2"/>
  </r>
  <r>
    <x v="2"/>
    <n v="1"/>
  </r>
  <r>
    <x v="9"/>
    <n v="5"/>
  </r>
  <r>
    <x v="1"/>
    <n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Medical Volunteer (Doctor/Nurse)"/>
    <n v="3500"/>
    <s v="Healthcare &amp; Life Sciences"/>
    <s v="Yes"/>
    <s v="No"/>
    <x v="0"/>
    <x v="0"/>
    <n v="765"/>
    <x v="0"/>
  </r>
  <r>
    <s v="Health Educator (Specialist)"/>
    <n v="2000"/>
    <s v="Education &amp; Training and Healthcare &amp; Life Sciences"/>
    <s v="Yes"/>
    <s v="No"/>
    <x v="0"/>
    <x v="0"/>
    <n v="831"/>
    <x v="1"/>
  </r>
  <r>
    <s v="First Aid &amp; Emergency Responder"/>
    <n v="1500"/>
    <s v="Healthcare &amp; Life Sciences and Natural Sciences &amp; Environment"/>
    <s v="Yes"/>
    <s v="No"/>
    <x v="0"/>
    <x v="0"/>
    <n v="874"/>
    <x v="2"/>
  </r>
  <r>
    <s v="Health Outreach Volunteer"/>
    <n v="1500"/>
    <s v="Arts, Media &amp; Communications, Law, Governance &amp; Public Policy, and Hospitality, Tourism &amp; Services"/>
    <s v="No"/>
    <s v="Yes"/>
    <x v="1"/>
    <x v="1"/>
    <n v="184"/>
    <x v="3"/>
  </r>
  <r>
    <s v="Patient Support Volunteer"/>
    <n v="1000"/>
    <s v="Hospitality, Tourism &amp; Services and Law, Governance &amp; Public Policy"/>
    <s v="No"/>
    <s v="Yes"/>
    <x v="1"/>
    <x v="1"/>
    <n v="126"/>
    <x v="4"/>
  </r>
  <r>
    <s v="Mobile Clinic Assistant"/>
    <n v="600"/>
    <s v="Engineering &amp; Manufacturing and Trades &amp; Technical Services and Hospitality, Tourism &amp; Services"/>
    <s v="No"/>
    <s v="Yes"/>
    <x v="1"/>
    <x v="1"/>
    <n v="167"/>
    <x v="5"/>
  </r>
  <r>
    <s v="Health Screening Assistant"/>
    <n v="400"/>
    <s v="Trades &amp; Technical Services and Natural Sciences &amp; Environment and Hospitality, Tourism &amp; Services"/>
    <s v="No"/>
    <s v="Yes"/>
    <x v="1"/>
    <x v="1"/>
    <n v="184"/>
    <x v="6"/>
  </r>
  <r>
    <s v="Event Organizer/Logistics"/>
    <n v="2500"/>
    <s v="Business, Finance &amp; Management and Hospitality, Tourism &amp; Services and Arts, Media &amp; Communications"/>
    <s v="No"/>
    <s v="No"/>
    <x v="1"/>
    <x v="0"/>
    <n v="239"/>
    <x v="7"/>
  </r>
  <r>
    <s v="Administrative &amp; Data Entry"/>
    <n v="2000"/>
    <s v="Information Technology and Business, Finance &amp; Management"/>
    <s v="No"/>
    <s v="No"/>
    <x v="1"/>
    <x v="0"/>
    <n v="168"/>
    <x v="8"/>
  </r>
  <r>
    <s v="Communications &amp; Awareness"/>
    <n v="2500"/>
    <s v="Arts, Media &amp; Communications and Law, Governance &amp; Public Policy"/>
    <s v="No"/>
    <s v="No"/>
    <x v="1"/>
    <x v="0"/>
    <n v="146"/>
    <x v="9"/>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V001"/>
    <n v="45"/>
    <s v="Employed"/>
    <n v="7"/>
    <s v="Law, Governance &amp; Public Policy"/>
    <n v="2"/>
    <b v="0"/>
    <s v="Online marketing"/>
    <x v="0"/>
    <x v="0"/>
    <x v="0"/>
  </r>
  <r>
    <s v="V002"/>
    <n v="19"/>
    <s v="Student"/>
    <n v="1"/>
    <s v="Healthcare &amp; Life Sciences"/>
    <n v="3"/>
    <b v="1"/>
    <s v="University partnership"/>
    <x v="1"/>
    <x v="1"/>
    <x v="0"/>
  </r>
  <r>
    <s v="V003"/>
    <n v="42"/>
    <s v="Employed"/>
    <n v="14"/>
    <s v="Natural Sciences &amp; Environment"/>
    <n v="1"/>
    <b v="0"/>
    <s v="Online marketing"/>
    <x v="2"/>
    <x v="0"/>
    <x v="1"/>
  </r>
  <r>
    <s v="V004"/>
    <n v="18"/>
    <s v="Student"/>
    <n v="0"/>
    <s v="Education &amp; Training"/>
    <n v="6"/>
    <b v="1"/>
    <s v="University partnership"/>
    <x v="3"/>
    <x v="1"/>
    <x v="0"/>
  </r>
  <r>
    <s v="V005"/>
    <n v="18"/>
    <s v="Student"/>
    <n v="2"/>
    <s v="Healthcare &amp; Life Sciences"/>
    <n v="2"/>
    <b v="1"/>
    <s v="University partnership"/>
    <x v="4"/>
    <x v="1"/>
    <x v="0"/>
  </r>
  <r>
    <s v="V006"/>
    <n v="34"/>
    <s v="Employed"/>
    <n v="13"/>
    <s v="Information Technology &amp; Computer Science"/>
    <n v="0"/>
    <b v="0"/>
    <s v="Online marketing"/>
    <x v="5"/>
    <x v="0"/>
    <x v="1"/>
  </r>
  <r>
    <s v="V007"/>
    <n v="31"/>
    <s v="Employed"/>
    <n v="15"/>
    <s v="Trades &amp; Technical Services"/>
    <n v="0"/>
    <b v="1"/>
    <s v="Online marketing"/>
    <x v="2"/>
    <x v="0"/>
    <x v="0"/>
  </r>
  <r>
    <s v="V008"/>
    <n v="21"/>
    <s v="Student"/>
    <n v="0"/>
    <s v="Healthcare &amp; Life Sciences"/>
    <n v="1"/>
    <b v="1"/>
    <s v="University partnership"/>
    <x v="1"/>
    <x v="1"/>
    <x v="0"/>
  </r>
  <r>
    <s v="V009"/>
    <n v="20"/>
    <s v="Student"/>
    <n v="1"/>
    <s v="Healthcare &amp; Life Sciences"/>
    <n v="3"/>
    <b v="1"/>
    <s v="University partnership"/>
    <x v="6"/>
    <x v="1"/>
    <x v="1"/>
  </r>
  <r>
    <s v="V010"/>
    <n v="64"/>
    <s v="Not working/Homemaker"/>
    <n v="20"/>
    <s v="Information Technology &amp; Computer Science"/>
    <n v="4"/>
    <b v="0"/>
    <s v="In-person outreach"/>
    <x v="7"/>
    <x v="2"/>
    <x v="1"/>
  </r>
  <r>
    <s v="V011"/>
    <n v="19"/>
    <s v="Student"/>
    <n v="0"/>
    <s v="Healthcare &amp; Life Sciences"/>
    <n v="3"/>
    <b v="1"/>
    <s v="University partnership"/>
    <x v="8"/>
    <x v="1"/>
    <x v="0"/>
  </r>
  <r>
    <s v="V012"/>
    <n v="20"/>
    <s v="Student"/>
    <n v="1"/>
    <s v="Arts, Media &amp; Communications"/>
    <n v="5"/>
    <b v="1"/>
    <s v="University partnership"/>
    <x v="9"/>
    <x v="1"/>
    <x v="1"/>
  </r>
  <r>
    <s v="V013"/>
    <n v="61"/>
    <s v="Retired"/>
    <n v="33"/>
    <s v="Healthcare &amp; Life Sciences"/>
    <n v="5"/>
    <b v="0"/>
    <s v="In-person outreach"/>
    <x v="1"/>
    <x v="3"/>
    <x v="0"/>
  </r>
  <r>
    <s v="V014"/>
    <n v="19"/>
    <s v="Student"/>
    <n v="0"/>
    <s v="Healthcare &amp; Life Sciences"/>
    <n v="2"/>
    <b v="1"/>
    <s v="University partnership"/>
    <x v="10"/>
    <x v="1"/>
    <x v="1"/>
  </r>
  <r>
    <s v="V015"/>
    <n v="48"/>
    <s v="Employed"/>
    <n v="17"/>
    <s v="Information Technology &amp; Computer Science"/>
    <n v="0"/>
    <b v="0"/>
    <s v="Online marketing"/>
    <x v="5"/>
    <x v="0"/>
    <x v="1"/>
  </r>
  <r>
    <s v="V016"/>
    <n v="50"/>
    <s v="Employed"/>
    <n v="19"/>
    <s v="Arts, Media &amp; Communications"/>
    <n v="2"/>
    <b v="0"/>
    <s v="Online marketing"/>
    <x v="11"/>
    <x v="0"/>
    <x v="0"/>
  </r>
  <r>
    <s v="V017"/>
    <n v="36"/>
    <s v="Not working/Homemaker"/>
    <n v="2"/>
    <s v="Information Technology &amp; Computer Science"/>
    <n v="5"/>
    <b v="0"/>
    <s v="In-person outreach"/>
    <x v="12"/>
    <x v="2"/>
    <x v="0"/>
  </r>
  <r>
    <s v="V018"/>
    <n v="19"/>
    <s v="Student"/>
    <n v="1"/>
    <s v="Healthcare &amp; Life Sciences"/>
    <n v="3"/>
    <b v="1"/>
    <s v="University partnership"/>
    <x v="6"/>
    <x v="1"/>
    <x v="0"/>
  </r>
  <r>
    <s v="V019"/>
    <n v="28"/>
    <s v="Employed"/>
    <n v="3"/>
    <s v="Law, Governance &amp; Public Policy"/>
    <n v="2"/>
    <b v="0"/>
    <s v="Online marketing"/>
    <x v="13"/>
    <x v="4"/>
    <x v="1"/>
  </r>
  <r>
    <s v="V020"/>
    <n v="58"/>
    <s v="Retired"/>
    <n v="40"/>
    <s v="Healthcare &amp; Life Sciences"/>
    <n v="5"/>
    <b v="0"/>
    <s v="In-person outreach"/>
    <x v="10"/>
    <x v="3"/>
    <x v="0"/>
  </r>
  <r>
    <s v="V021"/>
    <n v="46"/>
    <s v="Not working/Homemaker"/>
    <n v="20"/>
    <s v="Arts, Media &amp; Communications"/>
    <n v="3"/>
    <b v="0"/>
    <s v="In-person outreach"/>
    <x v="14"/>
    <x v="2"/>
    <x v="1"/>
  </r>
  <r>
    <s v="V022"/>
    <n v="35"/>
    <s v="Not working/Homemaker"/>
    <n v="18"/>
    <s v="Engineering &amp; Manufacturing"/>
    <n v="4"/>
    <b v="1"/>
    <s v="In-person outreach"/>
    <x v="6"/>
    <x v="2"/>
    <x v="0"/>
  </r>
  <r>
    <s v="V023"/>
    <n v="26"/>
    <s v="Employed"/>
    <n v="4"/>
    <s v="Engineering &amp; Manufacturing"/>
    <n v="0"/>
    <b v="0"/>
    <s v="Online marketing"/>
    <x v="15"/>
    <x v="4"/>
    <x v="0"/>
  </r>
  <r>
    <s v="V024"/>
    <n v="50"/>
    <s v="Employed"/>
    <n v="21"/>
    <s v="Arts, Media &amp; Communications"/>
    <n v="2"/>
    <b v="0"/>
    <s v="Online marketing"/>
    <x v="16"/>
    <x v="0"/>
    <x v="0"/>
  </r>
  <r>
    <s v="V025"/>
    <n v="18"/>
    <s v="Student"/>
    <n v="2"/>
    <s v="Healthcare &amp; Life Sciences"/>
    <n v="2"/>
    <b v="1"/>
    <s v="University partnership"/>
    <x v="6"/>
    <x v="1"/>
    <x v="0"/>
  </r>
  <r>
    <s v="V026"/>
    <n v="31"/>
    <s v="Not working/Homemaker"/>
    <n v="4"/>
    <s v="Arts, Media &amp; Communications"/>
    <n v="4"/>
    <b v="0"/>
    <s v="In-person outreach"/>
    <x v="7"/>
    <x v="2"/>
    <x v="1"/>
  </r>
  <r>
    <s v="V027"/>
    <n v="42"/>
    <s v="Not working/Homemaker"/>
    <n v="14"/>
    <s v="Trades &amp; Technical Services"/>
    <n v="3"/>
    <b v="0"/>
    <s v="In-person outreach"/>
    <x v="6"/>
    <x v="2"/>
    <x v="0"/>
  </r>
  <r>
    <s v="V028"/>
    <n v="27"/>
    <s v="Employed"/>
    <n v="0"/>
    <s v="Healthcare &amp; Life Sciences"/>
    <n v="4"/>
    <b v="0"/>
    <s v="Online marketing"/>
    <x v="8"/>
    <x v="4"/>
    <x v="0"/>
  </r>
  <r>
    <s v="V029"/>
    <n v="20"/>
    <s v="Student"/>
    <n v="2"/>
    <s v="Healthcare &amp; Life Sciences"/>
    <n v="2"/>
    <b v="1"/>
    <s v="University partnership"/>
    <x v="8"/>
    <x v="1"/>
    <x v="1"/>
  </r>
  <r>
    <s v="V030"/>
    <n v="34"/>
    <s v="Employed"/>
    <n v="18"/>
    <s v="Healthcare &amp; Life Sciences"/>
    <n v="3"/>
    <b v="0"/>
    <s v="Online marketing"/>
    <x v="9"/>
    <x v="0"/>
    <x v="1"/>
  </r>
  <r>
    <s v="V031"/>
    <n v="23"/>
    <s v="Not working/Homemaker"/>
    <n v="6"/>
    <s v="Information Technology &amp; Computer Science"/>
    <n v="4"/>
    <b v="0"/>
    <s v="In-person outreach"/>
    <x v="13"/>
    <x v="2"/>
    <x v="1"/>
  </r>
  <r>
    <s v="V032"/>
    <n v="31"/>
    <s v="Employed"/>
    <n v="6"/>
    <s v="Healthcare &amp; Life Sciences"/>
    <n v="2"/>
    <b v="0"/>
    <s v="Online marketing"/>
    <x v="4"/>
    <x v="0"/>
    <x v="0"/>
  </r>
  <r>
    <s v="V033"/>
    <n v="57"/>
    <s v="Not working/Homemaker"/>
    <n v="39"/>
    <s v="Trades &amp; Technical Services"/>
    <n v="3"/>
    <b v="0"/>
    <s v="In-person outreach"/>
    <x v="6"/>
    <x v="2"/>
    <x v="1"/>
  </r>
  <r>
    <s v="V034"/>
    <n v="20"/>
    <s v="Student"/>
    <n v="2"/>
    <s v="Information Technology &amp; Computer Science"/>
    <n v="6"/>
    <b v="1"/>
    <s v="University partnership"/>
    <x v="4"/>
    <x v="1"/>
    <x v="0"/>
  </r>
  <r>
    <s v="V035"/>
    <n v="18"/>
    <s v="Student"/>
    <n v="2"/>
    <s v="Healthcare &amp; Life Sciences"/>
    <n v="5"/>
    <b v="1"/>
    <s v="University partnership"/>
    <x v="1"/>
    <x v="1"/>
    <x v="0"/>
  </r>
  <r>
    <s v="V036"/>
    <n v="54"/>
    <s v="Employed"/>
    <n v="8"/>
    <s v="Healthcare &amp; Life Sciences"/>
    <n v="2"/>
    <b v="0"/>
    <s v="Online marketing"/>
    <x v="4"/>
    <x v="0"/>
    <x v="1"/>
  </r>
  <r>
    <s v="V037"/>
    <n v="67"/>
    <s v="Retired"/>
    <n v="28"/>
    <s v="Healthcare &amp; Life Sciences"/>
    <n v="7"/>
    <b v="0"/>
    <s v="In-person outreach"/>
    <x v="3"/>
    <x v="3"/>
    <x v="1"/>
  </r>
  <r>
    <s v="V038"/>
    <n v="18"/>
    <s v="Student"/>
    <n v="0"/>
    <s v="Healthcare &amp; Life Sciences"/>
    <n v="5"/>
    <b v="1"/>
    <s v="University partnership"/>
    <x v="1"/>
    <x v="1"/>
    <x v="1"/>
  </r>
  <r>
    <s v="V039"/>
    <n v="23"/>
    <s v="Employed"/>
    <n v="4"/>
    <s v="Healthcare &amp; Life Sciences"/>
    <n v="2"/>
    <b v="0"/>
    <s v="Online marketing"/>
    <x v="15"/>
    <x v="4"/>
    <x v="1"/>
  </r>
  <r>
    <s v="V040"/>
    <n v="20"/>
    <s v="Student"/>
    <n v="2"/>
    <s v="Healthcare &amp; Life Sciences"/>
    <n v="4"/>
    <b v="1"/>
    <s v="University partnership"/>
    <x v="4"/>
    <x v="1"/>
    <x v="1"/>
  </r>
  <r>
    <s v="V041"/>
    <n v="48"/>
    <s v="Employed"/>
    <n v="10"/>
    <s v="Natural Sciences &amp; Environment"/>
    <n v="1"/>
    <b v="0"/>
    <s v="Online marketing"/>
    <x v="2"/>
    <x v="0"/>
    <x v="1"/>
  </r>
  <r>
    <s v="V042"/>
    <n v="19"/>
    <s v="Student"/>
    <n v="1"/>
    <s v="Healthcare &amp; Life Sciences"/>
    <n v="5"/>
    <b v="1"/>
    <s v="University partnership"/>
    <x v="6"/>
    <x v="1"/>
    <x v="0"/>
  </r>
  <r>
    <s v="V043"/>
    <n v="56"/>
    <s v="Not working/Homemaker"/>
    <n v="9"/>
    <s v="Information Technology &amp; Computer Science"/>
    <n v="3"/>
    <b v="0"/>
    <s v="In-person outreach"/>
    <x v="17"/>
    <x v="2"/>
    <x v="1"/>
  </r>
  <r>
    <s v="V044"/>
    <n v="18"/>
    <s v="Student"/>
    <n v="1"/>
    <s v="Law, Governance &amp; Public Policy"/>
    <n v="6"/>
    <b v="1"/>
    <s v="University partnership"/>
    <x v="9"/>
    <x v="1"/>
    <x v="0"/>
  </r>
  <r>
    <s v="V045"/>
    <n v="20"/>
    <s v="Student"/>
    <n v="0"/>
    <s v="Healthcare &amp; Life Sciences"/>
    <n v="4"/>
    <b v="1"/>
    <s v="University partnership"/>
    <x v="18"/>
    <x v="1"/>
    <x v="0"/>
  </r>
  <r>
    <s v="V046"/>
    <n v="18"/>
    <s v="Student"/>
    <n v="0"/>
    <s v="Healthcare &amp; Life Sciences"/>
    <n v="4"/>
    <b v="1"/>
    <s v="University partnership"/>
    <x v="1"/>
    <x v="1"/>
    <x v="1"/>
  </r>
  <r>
    <s v="V047"/>
    <n v="18"/>
    <s v="Student"/>
    <n v="0"/>
    <s v="Healthcare &amp; Life Sciences"/>
    <n v="5"/>
    <b v="1"/>
    <s v="University partnership"/>
    <x v="18"/>
    <x v="1"/>
    <x v="1"/>
  </r>
  <r>
    <s v="V048"/>
    <n v="18"/>
    <s v="Student"/>
    <n v="1"/>
    <s v="Healthcare &amp; Life Sciences"/>
    <n v="5"/>
    <b v="1"/>
    <s v="University partnership"/>
    <x v="4"/>
    <x v="1"/>
    <x v="1"/>
  </r>
  <r>
    <s v="V049"/>
    <n v="58"/>
    <s v="Retired"/>
    <n v="35"/>
    <s v="Business, Finance &amp; Management"/>
    <n v="3"/>
    <b v="0"/>
    <s v="In-person outreach"/>
    <x v="8"/>
    <x v="3"/>
    <x v="1"/>
  </r>
  <r>
    <s v="V050"/>
    <n v="18"/>
    <s v="Student"/>
    <n v="2"/>
    <s v="Healthcare &amp; Life Sciences"/>
    <n v="4"/>
    <b v="1"/>
    <s v="University partnership"/>
    <x v="8"/>
    <x v="1"/>
    <x v="0"/>
  </r>
  <r>
    <s v="V051"/>
    <n v="19"/>
    <s v="Student"/>
    <n v="0"/>
    <s v="Healthcare &amp; Life Sciences"/>
    <n v="3"/>
    <b v="1"/>
    <s v="University partnership"/>
    <x v="6"/>
    <x v="1"/>
    <x v="1"/>
  </r>
  <r>
    <s v="V052"/>
    <n v="20"/>
    <s v="Student"/>
    <n v="1"/>
    <s v="Natural Sciences &amp; Environment"/>
    <n v="5"/>
    <b v="1"/>
    <s v="University partnership"/>
    <x v="19"/>
    <x v="1"/>
    <x v="1"/>
  </r>
  <r>
    <s v="V053"/>
    <n v="18"/>
    <s v="Student"/>
    <n v="0"/>
    <s v="Healthcare &amp; Life Sciences"/>
    <n v="4"/>
    <b v="1"/>
    <s v="University partnership"/>
    <x v="1"/>
    <x v="1"/>
    <x v="0"/>
  </r>
  <r>
    <s v="V054"/>
    <n v="72"/>
    <s v="Retired"/>
    <n v="32"/>
    <s v="Engineering &amp; Manufacturing"/>
    <n v="4"/>
    <b v="0"/>
    <s v="In-person outreach"/>
    <x v="18"/>
    <x v="3"/>
    <x v="1"/>
  </r>
  <r>
    <s v="V055"/>
    <n v="20"/>
    <s v="Student"/>
    <n v="1"/>
    <s v="Natural Sciences &amp; Environment"/>
    <n v="5"/>
    <b v="1"/>
    <s v="University partnership"/>
    <x v="20"/>
    <x v="1"/>
    <x v="0"/>
  </r>
  <r>
    <s v="V056"/>
    <n v="20"/>
    <s v="Student"/>
    <n v="1"/>
    <s v="Healthcare &amp; Life Sciences"/>
    <n v="5"/>
    <b v="1"/>
    <s v="University partnership"/>
    <x v="10"/>
    <x v="1"/>
    <x v="0"/>
  </r>
  <r>
    <s v="V057"/>
    <n v="21"/>
    <s v="Student"/>
    <n v="2"/>
    <s v="Healthcare &amp; Life Sciences"/>
    <n v="3"/>
    <b v="1"/>
    <s v="University partnership"/>
    <x v="8"/>
    <x v="1"/>
    <x v="1"/>
  </r>
  <r>
    <s v="V058"/>
    <n v="18"/>
    <s v="Student"/>
    <n v="1"/>
    <s v="Healthcare &amp; Life Sciences"/>
    <n v="5"/>
    <b v="1"/>
    <s v="University partnership"/>
    <x v="18"/>
    <x v="1"/>
    <x v="1"/>
  </r>
  <r>
    <s v="V059"/>
    <n v="24"/>
    <s v="Employed"/>
    <n v="2"/>
    <s v="Healthcare &amp; Life Sciences"/>
    <n v="3"/>
    <b v="0"/>
    <s v="Online marketing"/>
    <x v="1"/>
    <x v="4"/>
    <x v="1"/>
  </r>
  <r>
    <s v="V060"/>
    <n v="21"/>
    <s v="Student"/>
    <n v="1"/>
    <s v="Healthcare &amp; Life Sciences"/>
    <n v="3"/>
    <b v="1"/>
    <s v="University partnership"/>
    <x v="8"/>
    <x v="1"/>
    <x v="1"/>
  </r>
  <r>
    <s v="V061"/>
    <n v="20"/>
    <s v="Not working/Homemaker"/>
    <n v="0"/>
    <s v="Law, Governance &amp; Public Policy"/>
    <n v="4"/>
    <b v="0"/>
    <s v="In-person outreach"/>
    <x v="18"/>
    <x v="2"/>
    <x v="1"/>
  </r>
  <r>
    <s v="V062"/>
    <n v="30"/>
    <s v="Employed"/>
    <n v="0"/>
    <s v="Business, Finance &amp; Management"/>
    <n v="2"/>
    <b v="1"/>
    <s v="Online marketing"/>
    <x v="18"/>
    <x v="4"/>
    <x v="0"/>
  </r>
  <r>
    <s v="V063"/>
    <n v="23"/>
    <s v="Employed"/>
    <n v="3"/>
    <s v="Information Technology &amp; Computer Science"/>
    <n v="1"/>
    <b v="0"/>
    <s v="Online marketing"/>
    <x v="12"/>
    <x v="4"/>
    <x v="0"/>
  </r>
  <r>
    <s v="V064"/>
    <n v="33"/>
    <s v="Not working/Homemaker"/>
    <n v="3"/>
    <s v="Business, Finance &amp; Management"/>
    <n v="5"/>
    <b v="1"/>
    <s v="In-person outreach"/>
    <x v="17"/>
    <x v="2"/>
    <x v="0"/>
  </r>
  <r>
    <s v="V065"/>
    <n v="19"/>
    <s v="Student"/>
    <n v="1"/>
    <s v="Healthcare &amp; Life Sciences"/>
    <n v="4"/>
    <b v="1"/>
    <s v="University partnership"/>
    <x v="8"/>
    <x v="1"/>
    <x v="0"/>
  </r>
  <r>
    <s v="V066"/>
    <n v="18"/>
    <s v="Student"/>
    <n v="2"/>
    <s v="Healthcare &amp; Life Sciences"/>
    <n v="4"/>
    <b v="1"/>
    <s v="University partnership"/>
    <x v="18"/>
    <x v="1"/>
    <x v="1"/>
  </r>
  <r>
    <s v="V067"/>
    <n v="21"/>
    <s v="Not working/Homemaker"/>
    <n v="1"/>
    <s v="Business, Finance &amp; Management"/>
    <n v="4"/>
    <b v="0"/>
    <s v="In-person outreach"/>
    <x v="13"/>
    <x v="2"/>
    <x v="1"/>
  </r>
  <r>
    <s v="V068"/>
    <n v="18"/>
    <s v="Student"/>
    <n v="2"/>
    <s v="Healthcare &amp; Life Sciences"/>
    <n v="4"/>
    <b v="1"/>
    <s v="University partnership"/>
    <x v="1"/>
    <x v="1"/>
    <x v="0"/>
  </r>
  <r>
    <s v="V069"/>
    <n v="27"/>
    <s v="Employed"/>
    <n v="0"/>
    <s v="Trades &amp; Technical Services"/>
    <n v="2"/>
    <b v="1"/>
    <s v="Online marketing"/>
    <x v="13"/>
    <x v="4"/>
    <x v="1"/>
  </r>
  <r>
    <s v="V070"/>
    <n v="42"/>
    <s v="Employed"/>
    <n v="9"/>
    <s v="Law, Governance &amp; Public Policy"/>
    <n v="1"/>
    <b v="0"/>
    <s v="Online marketing"/>
    <x v="16"/>
    <x v="0"/>
    <x v="0"/>
  </r>
  <r>
    <s v="V071"/>
    <n v="43"/>
    <s v="Employed"/>
    <n v="24"/>
    <s v="Law, Governance &amp; Public Policy"/>
    <n v="2"/>
    <b v="0"/>
    <s v="Online marketing"/>
    <x v="0"/>
    <x v="0"/>
    <x v="0"/>
  </r>
  <r>
    <s v="V072"/>
    <n v="36"/>
    <s v="Employed"/>
    <n v="7"/>
    <s v="Natural Sciences &amp; Environment"/>
    <n v="0"/>
    <b v="1"/>
    <s v="Online marketing"/>
    <x v="2"/>
    <x v="0"/>
    <x v="0"/>
  </r>
  <r>
    <s v="V073"/>
    <n v="28"/>
    <s v="Employed"/>
    <n v="5"/>
    <s v="Law, Governance &amp; Public Policy"/>
    <n v="1"/>
    <b v="1"/>
    <s v="Online marketing"/>
    <x v="13"/>
    <x v="4"/>
    <x v="0"/>
  </r>
  <r>
    <s v="V074"/>
    <n v="23"/>
    <s v="Employed"/>
    <n v="2"/>
    <s v="Arts, Media &amp; Communications"/>
    <n v="1"/>
    <b v="0"/>
    <s v="Online marketing"/>
    <x v="6"/>
    <x v="4"/>
    <x v="0"/>
  </r>
  <r>
    <s v="V075"/>
    <n v="25"/>
    <s v="Employed"/>
    <n v="5"/>
    <s v="Education &amp; Training"/>
    <n v="1"/>
    <b v="1"/>
    <s v="Online marketing"/>
    <x v="13"/>
    <x v="4"/>
    <x v="0"/>
  </r>
  <r>
    <s v="V076"/>
    <n v="29"/>
    <s v="Employed"/>
    <n v="5"/>
    <s v="Arts, Media &amp; Communications"/>
    <n v="1"/>
    <b v="1"/>
    <s v="Online marketing"/>
    <x v="18"/>
    <x v="4"/>
    <x v="0"/>
  </r>
  <r>
    <s v="V077"/>
    <n v="28"/>
    <s v="Employed"/>
    <n v="0"/>
    <s v="Trades &amp; Technical Services"/>
    <n v="0"/>
    <b v="0"/>
    <s v="Online marketing"/>
    <x v="6"/>
    <x v="4"/>
    <x v="0"/>
  </r>
  <r>
    <s v="V078"/>
    <n v="21"/>
    <s v="Student"/>
    <n v="2"/>
    <s v="Healthcare &amp; Life Sciences"/>
    <n v="5"/>
    <b v="1"/>
    <s v="University partnership"/>
    <x v="18"/>
    <x v="1"/>
    <x v="0"/>
  </r>
  <r>
    <s v="V079"/>
    <n v="35"/>
    <s v="Not working/Homemaker"/>
    <n v="6"/>
    <s v="Trades &amp; Technical Services"/>
    <n v="3"/>
    <b v="0"/>
    <s v="In-person outreach"/>
    <x v="6"/>
    <x v="2"/>
    <x v="1"/>
  </r>
  <r>
    <s v="V080"/>
    <n v="52"/>
    <s v="Not working/Homemaker"/>
    <n v="14"/>
    <s v="Trades &amp; Technical Services"/>
    <n v="5"/>
    <b v="0"/>
    <s v="In-person outreach"/>
    <x v="18"/>
    <x v="2"/>
    <x v="0"/>
  </r>
  <r>
    <s v="V081"/>
    <n v="19"/>
    <s v="Student"/>
    <n v="0"/>
    <s v="Business, Finance &amp; Management"/>
    <n v="3"/>
    <b v="1"/>
    <s v="University partnership"/>
    <x v="21"/>
    <x v="1"/>
    <x v="0"/>
  </r>
  <r>
    <s v="V082"/>
    <n v="20"/>
    <s v="Student"/>
    <n v="1"/>
    <s v="Healthcare &amp; Life Sciences"/>
    <n v="3"/>
    <b v="1"/>
    <s v="University partnership"/>
    <x v="4"/>
    <x v="1"/>
    <x v="0"/>
  </r>
  <r>
    <s v="V083"/>
    <n v="51"/>
    <s v="Not working/Homemaker"/>
    <n v="5"/>
    <s v="Natural Sciences &amp; Environment"/>
    <n v="5"/>
    <b v="0"/>
    <s v="In-person outreach"/>
    <x v="6"/>
    <x v="2"/>
    <x v="1"/>
  </r>
  <r>
    <s v="V084"/>
    <n v="19"/>
    <s v="Student"/>
    <n v="1"/>
    <s v="Law, Governance &amp; Public Policy"/>
    <n v="3"/>
    <b v="0"/>
    <s v="University partnership"/>
    <x v="9"/>
    <x v="1"/>
    <x v="0"/>
  </r>
  <r>
    <s v="V085"/>
    <n v="29"/>
    <s v="Employed"/>
    <n v="0"/>
    <s v="Business, Finance &amp; Management"/>
    <n v="0"/>
    <b v="0"/>
    <s v="Online marketing"/>
    <x v="8"/>
    <x v="4"/>
    <x v="0"/>
  </r>
  <r>
    <s v="V086"/>
    <n v="19"/>
    <s v="Student"/>
    <n v="2"/>
    <s v="Healthcare &amp; Life Sciences"/>
    <n v="4"/>
    <b v="1"/>
    <s v="University partnership"/>
    <x v="10"/>
    <x v="1"/>
    <x v="0"/>
  </r>
  <r>
    <s v="V087"/>
    <n v="18"/>
    <s v="Student"/>
    <n v="2"/>
    <s v="Natural Sciences &amp; Environment"/>
    <n v="4"/>
    <b v="1"/>
    <s v="University partnership"/>
    <x v="19"/>
    <x v="1"/>
    <x v="1"/>
  </r>
  <r>
    <s v="V088"/>
    <n v="71"/>
    <s v="Retired"/>
    <n v="39"/>
    <s v="Information Technology &amp; Computer Science"/>
    <n v="3"/>
    <b v="0"/>
    <s v="In-person outreach"/>
    <x v="10"/>
    <x v="3"/>
    <x v="0"/>
  </r>
  <r>
    <s v="V089"/>
    <n v="22"/>
    <s v="Employed"/>
    <n v="2"/>
    <s v="Arts, Media &amp; Communications"/>
    <n v="1"/>
    <b v="0"/>
    <s v="Online marketing"/>
    <x v="12"/>
    <x v="4"/>
    <x v="0"/>
  </r>
  <r>
    <s v="V090"/>
    <n v="26"/>
    <s v="Employed"/>
    <n v="0"/>
    <s v="Information Technology &amp; Computer Science"/>
    <n v="2"/>
    <b v="0"/>
    <s v="Online marketing"/>
    <x v="15"/>
    <x v="4"/>
    <x v="0"/>
  </r>
  <r>
    <s v="V091"/>
    <n v="34"/>
    <s v="Employed"/>
    <n v="8"/>
    <s v="Engineering &amp; Manufacturing"/>
    <n v="1"/>
    <b v="1"/>
    <s v="Online marketing"/>
    <x v="0"/>
    <x v="0"/>
    <x v="0"/>
  </r>
  <r>
    <s v="V092"/>
    <n v="36"/>
    <s v="Not working/Homemaker"/>
    <n v="3"/>
    <s v="Natural Sciences &amp; Environment"/>
    <n v="4"/>
    <b v="1"/>
    <s v="In-person outreach"/>
    <x v="13"/>
    <x v="2"/>
    <x v="0"/>
  </r>
  <r>
    <s v="V093"/>
    <n v="54"/>
    <s v="Employed"/>
    <n v="10"/>
    <s v="Information Technology &amp; Computer Science"/>
    <n v="0"/>
    <b v="0"/>
    <s v="Online marketing"/>
    <x v="11"/>
    <x v="0"/>
    <x v="0"/>
  </r>
  <r>
    <s v="V094"/>
    <n v="30"/>
    <s v="Employed"/>
    <n v="3"/>
    <s v="Engineering &amp; Manufacturing"/>
    <n v="0"/>
    <b v="0"/>
    <s v="Online marketing"/>
    <x v="13"/>
    <x v="4"/>
    <x v="0"/>
  </r>
  <r>
    <s v="V095"/>
    <n v="44"/>
    <s v="Not working/Homemaker"/>
    <n v="11"/>
    <s v="Natural Sciences &amp; Environment"/>
    <n v="4"/>
    <b v="0"/>
    <s v="In-person outreach"/>
    <x v="6"/>
    <x v="2"/>
    <x v="0"/>
  </r>
  <r>
    <s v="V096"/>
    <n v="33"/>
    <s v="Employed"/>
    <n v="13"/>
    <s v="Law, Governance &amp; Public Policy"/>
    <n v="2"/>
    <b v="0"/>
    <s v="Online marketing"/>
    <x v="2"/>
    <x v="0"/>
    <x v="0"/>
  </r>
  <r>
    <s v="V097"/>
    <n v="21"/>
    <s v="Student"/>
    <n v="2"/>
    <s v="Healthcare &amp; Life Sciences"/>
    <n v="3"/>
    <b v="1"/>
    <s v="University partnership"/>
    <x v="15"/>
    <x v="1"/>
    <x v="0"/>
  </r>
  <r>
    <s v="V098"/>
    <n v="18"/>
    <s v="Student"/>
    <n v="1"/>
    <s v="Healthcare &amp; Life Sciences"/>
    <n v="4"/>
    <b v="1"/>
    <s v="University partnership"/>
    <x v="4"/>
    <x v="1"/>
    <x v="1"/>
  </r>
  <r>
    <s v="V099"/>
    <n v="35"/>
    <s v="Not working/Homemaker"/>
    <n v="18"/>
    <s v="Education &amp; Training"/>
    <n v="4"/>
    <b v="0"/>
    <s v="In-person outreach"/>
    <x v="18"/>
    <x v="2"/>
    <x v="1"/>
  </r>
  <r>
    <s v="V100"/>
    <n v="19"/>
    <s v="Student"/>
    <n v="2"/>
    <s v="Healthcare &amp; Life Sciences"/>
    <n v="5"/>
    <b v="1"/>
    <s v="University partnership"/>
    <x v="4"/>
    <x v="1"/>
    <x v="0"/>
  </r>
  <r>
    <s v="V101"/>
    <n v="29"/>
    <s v="Employed"/>
    <n v="2"/>
    <s v="Business, Finance &amp; Management"/>
    <n v="0"/>
    <b v="0"/>
    <s v="Online marketing"/>
    <x v="18"/>
    <x v="4"/>
    <x v="1"/>
  </r>
  <r>
    <s v="V102"/>
    <n v="56"/>
    <s v="Not working/Homemaker"/>
    <n v="19"/>
    <s v="Law, Governance &amp; Public Policy"/>
    <n v="5"/>
    <b v="0"/>
    <s v="In-person outreach"/>
    <x v="17"/>
    <x v="2"/>
    <x v="0"/>
  </r>
  <r>
    <s v="V103"/>
    <n v="21"/>
    <s v="Student"/>
    <n v="2"/>
    <s v="Healthcare &amp; Life Sciences"/>
    <n v="5"/>
    <b v="1"/>
    <s v="University partnership"/>
    <x v="8"/>
    <x v="1"/>
    <x v="0"/>
  </r>
  <r>
    <s v="V104"/>
    <n v="30"/>
    <s v="Employed"/>
    <n v="4"/>
    <s v="Law, Governance &amp; Public Policy"/>
    <n v="2"/>
    <b v="0"/>
    <s v="Online marketing"/>
    <x v="6"/>
    <x v="4"/>
    <x v="1"/>
  </r>
  <r>
    <s v="V105"/>
    <n v="51"/>
    <s v="Employed"/>
    <n v="15"/>
    <s v="Healthcare &amp; Life Sciences"/>
    <n v="1"/>
    <b v="0"/>
    <s v="Online marketing"/>
    <x v="21"/>
    <x v="0"/>
    <x v="0"/>
  </r>
  <r>
    <s v="V106"/>
    <n v="21"/>
    <s v="Student"/>
    <n v="2"/>
    <s v="Healthcare &amp; Life Sciences"/>
    <n v="4"/>
    <b v="1"/>
    <s v="University partnership"/>
    <x v="18"/>
    <x v="1"/>
    <x v="1"/>
  </r>
  <r>
    <s v="V107"/>
    <n v="22"/>
    <s v="Employed"/>
    <n v="4"/>
    <s v="Natural Sciences &amp; Environment"/>
    <n v="1"/>
    <b v="0"/>
    <s v="Online marketing"/>
    <x v="13"/>
    <x v="4"/>
    <x v="1"/>
  </r>
  <r>
    <s v="V108"/>
    <n v="29"/>
    <s v="Employed"/>
    <n v="3"/>
    <s v="Engineering &amp; Manufacturing"/>
    <n v="2"/>
    <b v="0"/>
    <s v="Online marketing"/>
    <x v="6"/>
    <x v="4"/>
    <x v="0"/>
  </r>
  <r>
    <s v="V109"/>
    <n v="50"/>
    <s v="Employed"/>
    <n v="8"/>
    <s v="Healthcare &amp; Life Sciences"/>
    <n v="1"/>
    <b v="0"/>
    <s v="Online marketing"/>
    <x v="21"/>
    <x v="0"/>
    <x v="0"/>
  </r>
  <r>
    <s v="V110"/>
    <n v="19"/>
    <s v="Student"/>
    <n v="2"/>
    <s v="Healthcare &amp; Life Sciences"/>
    <n v="4"/>
    <b v="1"/>
    <s v="University partnership"/>
    <x v="8"/>
    <x v="1"/>
    <x v="1"/>
  </r>
  <r>
    <s v="V111"/>
    <n v="20"/>
    <s v="Student"/>
    <n v="0"/>
    <s v="Healthcare &amp; Life Sciences"/>
    <n v="4"/>
    <b v="1"/>
    <s v="University partnership"/>
    <x v="4"/>
    <x v="1"/>
    <x v="1"/>
  </r>
  <r>
    <s v="V112"/>
    <n v="69"/>
    <s v="Retired"/>
    <n v="28"/>
    <s v="Law, Governance &amp; Public Policy"/>
    <n v="4"/>
    <b v="0"/>
    <s v="In-person outreach"/>
    <x v="3"/>
    <x v="3"/>
    <x v="1"/>
  </r>
  <r>
    <s v="V113"/>
    <n v="45"/>
    <s v="Employed"/>
    <n v="11"/>
    <s v="Healthcare &amp; Life Sciences"/>
    <n v="2"/>
    <b v="0"/>
    <s v="Online marketing"/>
    <x v="4"/>
    <x v="0"/>
    <x v="0"/>
  </r>
  <r>
    <s v="V114"/>
    <n v="20"/>
    <s v="Student"/>
    <n v="0"/>
    <s v="Healthcare &amp; Life Sciences"/>
    <n v="4"/>
    <b v="1"/>
    <s v="University partnership"/>
    <x v="6"/>
    <x v="1"/>
    <x v="1"/>
  </r>
  <r>
    <s v="V115"/>
    <n v="29"/>
    <s v="Not working/Homemaker"/>
    <n v="2"/>
    <s v="Natural Sciences &amp; Environment"/>
    <n v="4"/>
    <b v="1"/>
    <s v="In-person outreach"/>
    <x v="13"/>
    <x v="2"/>
    <x v="1"/>
  </r>
  <r>
    <s v="V116"/>
    <n v="24"/>
    <s v="Employed"/>
    <n v="3"/>
    <s v="Trades &amp; Technical Services"/>
    <n v="0"/>
    <b v="0"/>
    <s v="Online marketing"/>
    <x v="6"/>
    <x v="4"/>
    <x v="0"/>
  </r>
  <r>
    <s v="V117"/>
    <n v="29"/>
    <s v="Employed"/>
    <n v="0"/>
    <s v="Engineering &amp; Manufacturing"/>
    <n v="1"/>
    <b v="0"/>
    <s v="Online marketing"/>
    <x v="12"/>
    <x v="4"/>
    <x v="0"/>
  </r>
  <r>
    <s v="V118"/>
    <n v="25"/>
    <s v="Employed"/>
    <n v="0"/>
    <s v="Education &amp; Training"/>
    <n v="0"/>
    <b v="0"/>
    <s v="Online marketing"/>
    <x v="15"/>
    <x v="4"/>
    <x v="0"/>
  </r>
  <r>
    <s v="V119"/>
    <n v="20"/>
    <s v="Student"/>
    <n v="0"/>
    <s v="Healthcare &amp; Life Sciences"/>
    <n v="4"/>
    <b v="1"/>
    <s v="University partnership"/>
    <x v="15"/>
    <x v="1"/>
    <x v="0"/>
  </r>
  <r>
    <s v="V120"/>
    <n v="18"/>
    <s v="Student"/>
    <n v="2"/>
    <s v="Healthcare &amp; Life Sciences"/>
    <n v="5"/>
    <b v="1"/>
    <s v="University partnership"/>
    <x v="18"/>
    <x v="1"/>
    <x v="1"/>
  </r>
  <r>
    <s v="V121"/>
    <n v="29"/>
    <s v="Employed"/>
    <n v="4"/>
    <s v="Healthcare &amp; Life Sciences"/>
    <n v="4"/>
    <b v="0"/>
    <s v="Online marketing"/>
    <x v="15"/>
    <x v="4"/>
    <x v="1"/>
  </r>
  <r>
    <s v="V122"/>
    <n v="19"/>
    <s v="Student"/>
    <n v="0"/>
    <s v="Natural Sciences &amp; Environment"/>
    <n v="4"/>
    <b v="0"/>
    <s v="University partnership"/>
    <x v="3"/>
    <x v="1"/>
    <x v="1"/>
  </r>
  <r>
    <s v="V123"/>
    <n v="28"/>
    <s v="Employed"/>
    <n v="3"/>
    <s v="Business, Finance &amp; Management"/>
    <n v="1"/>
    <b v="0"/>
    <s v="Online marketing"/>
    <x v="18"/>
    <x v="4"/>
    <x v="0"/>
  </r>
  <r>
    <s v="V124"/>
    <n v="18"/>
    <s v="Student"/>
    <n v="0"/>
    <s v="Arts, Media &amp; Communications"/>
    <n v="3"/>
    <b v="1"/>
    <s v="University partnership"/>
    <x v="19"/>
    <x v="1"/>
    <x v="0"/>
  </r>
  <r>
    <s v="V125"/>
    <n v="28"/>
    <s v="Employed"/>
    <n v="5"/>
    <s v="Education &amp; Training"/>
    <n v="0"/>
    <b v="0"/>
    <s v="Online marketing"/>
    <x v="8"/>
    <x v="4"/>
    <x v="0"/>
  </r>
  <r>
    <s v="V126"/>
    <n v="28"/>
    <s v="Employed"/>
    <n v="3"/>
    <s v="Trades &amp; Technical Services"/>
    <n v="1"/>
    <b v="0"/>
    <s v="Online marketing"/>
    <x v="13"/>
    <x v="4"/>
    <x v="0"/>
  </r>
  <r>
    <s v="V127"/>
    <n v="75"/>
    <s v="Retired"/>
    <n v="35"/>
    <s v="Natural Sciences &amp; Environment"/>
    <n v="4"/>
    <b v="0"/>
    <s v="In-person outreach"/>
    <x v="4"/>
    <x v="3"/>
    <x v="0"/>
  </r>
  <r>
    <s v="V128"/>
    <n v="27"/>
    <s v="Employed"/>
    <n v="1"/>
    <s v="Healthcare &amp; Life Sciences"/>
    <n v="2"/>
    <b v="0"/>
    <s v="Online marketing"/>
    <x v="8"/>
    <x v="4"/>
    <x v="0"/>
  </r>
  <r>
    <s v="V129"/>
    <n v="20"/>
    <s v="Student"/>
    <n v="1"/>
    <s v="Healthcare &amp; Life Sciences"/>
    <n v="4"/>
    <b v="1"/>
    <s v="University partnership"/>
    <x v="8"/>
    <x v="1"/>
    <x v="1"/>
  </r>
  <r>
    <s v="V130"/>
    <n v="41"/>
    <s v="Employed"/>
    <n v="23"/>
    <s v="Healthcare &amp; Life Sciences"/>
    <n v="2"/>
    <b v="0"/>
    <s v="Online marketing"/>
    <x v="10"/>
    <x v="0"/>
    <x v="1"/>
  </r>
  <r>
    <s v="V131"/>
    <n v="19"/>
    <s v="Student"/>
    <n v="2"/>
    <s v="Healthcare &amp; Life Sciences"/>
    <n v="5"/>
    <b v="1"/>
    <s v="University partnership"/>
    <x v="8"/>
    <x v="1"/>
    <x v="1"/>
  </r>
  <r>
    <s v="V132"/>
    <n v="18"/>
    <s v="Student"/>
    <n v="0"/>
    <s v="Healthcare &amp; Life Sciences"/>
    <n v="4"/>
    <b v="1"/>
    <s v="University partnership"/>
    <x v="10"/>
    <x v="1"/>
    <x v="1"/>
  </r>
  <r>
    <s v="V133"/>
    <n v="54"/>
    <s v="Not working/Homemaker"/>
    <n v="27"/>
    <s v="Natural Sciences &amp; Environment"/>
    <n v="3"/>
    <b v="0"/>
    <s v="In-person outreach"/>
    <x v="6"/>
    <x v="2"/>
    <x v="1"/>
  </r>
  <r>
    <s v="V134"/>
    <n v="22"/>
    <s v="Employed"/>
    <n v="1"/>
    <s v="Arts, Media &amp; Communications"/>
    <n v="1"/>
    <b v="0"/>
    <s v="Online marketing"/>
    <x v="18"/>
    <x v="4"/>
    <x v="0"/>
  </r>
  <r>
    <s v="V135"/>
    <n v="20"/>
    <s v="Student"/>
    <n v="2"/>
    <s v="Healthcare &amp; Life Sciences"/>
    <n v="5"/>
    <b v="1"/>
    <s v="University partnership"/>
    <x v="1"/>
    <x v="1"/>
    <x v="0"/>
  </r>
  <r>
    <s v="V136"/>
    <n v="18"/>
    <s v="Student"/>
    <n v="0"/>
    <s v="Healthcare &amp; Life Sciences"/>
    <n v="3"/>
    <b v="1"/>
    <s v="University partnership"/>
    <x v="10"/>
    <x v="1"/>
    <x v="1"/>
  </r>
  <r>
    <s v="V137"/>
    <n v="20"/>
    <s v="Student"/>
    <n v="0"/>
    <s v="Hospitality, Tourism &amp; Services"/>
    <n v="3"/>
    <b v="1"/>
    <s v="University partnership"/>
    <x v="3"/>
    <x v="1"/>
    <x v="1"/>
  </r>
  <r>
    <s v="V138"/>
    <n v="21"/>
    <s v="Student"/>
    <n v="1"/>
    <s v="Healthcare &amp; Life Sciences"/>
    <n v="4"/>
    <b v="1"/>
    <s v="University partnership"/>
    <x v="6"/>
    <x v="1"/>
    <x v="0"/>
  </r>
  <r>
    <s v="V139"/>
    <n v="20"/>
    <s v="Student"/>
    <n v="0"/>
    <s v="Healthcare &amp; Life Sciences"/>
    <n v="4"/>
    <b v="1"/>
    <s v="University partnership"/>
    <x v="8"/>
    <x v="1"/>
    <x v="1"/>
  </r>
  <r>
    <s v="V140"/>
    <n v="25"/>
    <s v="Employed"/>
    <n v="2"/>
    <s v="Arts, Media &amp; Communications"/>
    <n v="2"/>
    <b v="0"/>
    <s v="Online marketing"/>
    <x v="13"/>
    <x v="4"/>
    <x v="1"/>
  </r>
  <r>
    <s v="V141"/>
    <n v="21"/>
    <s v="Student"/>
    <n v="0"/>
    <s v="Healthcare &amp; Life Sciences"/>
    <n v="3"/>
    <b v="1"/>
    <s v="University partnership"/>
    <x v="4"/>
    <x v="1"/>
    <x v="0"/>
  </r>
  <r>
    <s v="V142"/>
    <n v="23"/>
    <s v="Employed"/>
    <n v="5"/>
    <s v="Healthcare &amp; Life Sciences"/>
    <n v="2"/>
    <b v="0"/>
    <s v="Online marketing"/>
    <x v="8"/>
    <x v="4"/>
    <x v="1"/>
  </r>
  <r>
    <s v="V143"/>
    <n v="39"/>
    <s v="Not working/Homemaker"/>
    <n v="5"/>
    <s v="Information Technology &amp; Computer Science"/>
    <n v="5"/>
    <b v="0"/>
    <s v="In-person outreach"/>
    <x v="7"/>
    <x v="2"/>
    <x v="1"/>
  </r>
  <r>
    <s v="V144"/>
    <n v="19"/>
    <s v="Student"/>
    <n v="2"/>
    <s v="Healthcare &amp; Life Sciences"/>
    <n v="5"/>
    <b v="1"/>
    <s v="University partnership"/>
    <x v="8"/>
    <x v="1"/>
    <x v="0"/>
  </r>
  <r>
    <s v="V145"/>
    <n v="24"/>
    <s v="Employed"/>
    <n v="1"/>
    <s v="Arts, Media &amp; Communications"/>
    <n v="1"/>
    <b v="0"/>
    <s v="Online marketing"/>
    <x v="15"/>
    <x v="4"/>
    <x v="1"/>
  </r>
  <r>
    <s v="V146"/>
    <n v="29"/>
    <s v="Employed"/>
    <n v="0"/>
    <s v="Education &amp; Training"/>
    <n v="1"/>
    <b v="0"/>
    <s v="Online marketing"/>
    <x v="15"/>
    <x v="4"/>
    <x v="0"/>
  </r>
  <r>
    <s v="V147"/>
    <n v="19"/>
    <s v="Student"/>
    <n v="0"/>
    <s v="Healthcare &amp; Life Sciences"/>
    <n v="4"/>
    <b v="1"/>
    <s v="University partnership"/>
    <x v="10"/>
    <x v="1"/>
    <x v="0"/>
  </r>
  <r>
    <s v="V148"/>
    <n v="27"/>
    <s v="Employed"/>
    <n v="1"/>
    <s v="Healthcare &amp; Life Sciences"/>
    <n v="4"/>
    <b v="0"/>
    <s v="Online marketing"/>
    <x v="1"/>
    <x v="4"/>
    <x v="1"/>
  </r>
  <r>
    <s v="V149"/>
    <n v="24"/>
    <s v="Employed"/>
    <n v="1"/>
    <s v="Business, Finance &amp; Management"/>
    <n v="2"/>
    <b v="0"/>
    <s v="Online marketing"/>
    <x v="8"/>
    <x v="4"/>
    <x v="1"/>
  </r>
  <r>
    <s v="V150"/>
    <n v="22"/>
    <s v="Not working/Homemaker"/>
    <n v="0"/>
    <s v="Information Technology &amp; Computer Science"/>
    <n v="5"/>
    <b v="0"/>
    <s v="In-person outreach"/>
    <x v="12"/>
    <x v="2"/>
    <x v="0"/>
  </r>
  <r>
    <s v="V151"/>
    <n v="18"/>
    <s v="Student"/>
    <n v="2"/>
    <s v="Healthcare &amp; Life Sciences"/>
    <n v="4"/>
    <b v="1"/>
    <s v="University partnership"/>
    <x v="1"/>
    <x v="1"/>
    <x v="0"/>
  </r>
  <r>
    <s v="V152"/>
    <n v="20"/>
    <s v="Student"/>
    <n v="1"/>
    <s v="Healthcare &amp; Life Sciences"/>
    <n v="3"/>
    <b v="1"/>
    <s v="University partnership"/>
    <x v="8"/>
    <x v="1"/>
    <x v="1"/>
  </r>
  <r>
    <s v="V153"/>
    <n v="19"/>
    <s v="Student"/>
    <n v="1"/>
    <s v="Healthcare &amp; Life Sciences"/>
    <n v="3"/>
    <b v="1"/>
    <s v="University partnership"/>
    <x v="18"/>
    <x v="1"/>
    <x v="1"/>
  </r>
  <r>
    <s v="V154"/>
    <n v="18"/>
    <s v="Student"/>
    <n v="2"/>
    <s v="Healthcare &amp; Life Sciences"/>
    <n v="4"/>
    <b v="1"/>
    <s v="University partnership"/>
    <x v="18"/>
    <x v="1"/>
    <x v="1"/>
  </r>
  <r>
    <s v="V155"/>
    <n v="36"/>
    <s v="Not working/Homemaker"/>
    <n v="10"/>
    <s v="Information Technology &amp; Computer Science"/>
    <n v="5"/>
    <b v="1"/>
    <s v="In-person outreach"/>
    <x v="12"/>
    <x v="2"/>
    <x v="1"/>
  </r>
  <r>
    <s v="V156"/>
    <n v="55"/>
    <s v="Employed"/>
    <n v="13"/>
    <s v="Law, Governance &amp; Public Policy"/>
    <n v="1"/>
    <b v="0"/>
    <s v="Online marketing"/>
    <x v="11"/>
    <x v="0"/>
    <x v="0"/>
  </r>
  <r>
    <s v="V157"/>
    <n v="21"/>
    <s v="Student"/>
    <n v="0"/>
    <s v="Healthcare &amp; Life Sciences"/>
    <n v="3"/>
    <b v="1"/>
    <s v="University partnership"/>
    <x v="4"/>
    <x v="1"/>
    <x v="0"/>
  </r>
  <r>
    <s v="V158"/>
    <n v="27"/>
    <s v="Employed"/>
    <n v="1"/>
    <s v="Healthcare &amp; Life Sciences"/>
    <n v="3"/>
    <b v="0"/>
    <s v="Online marketing"/>
    <x v="18"/>
    <x v="4"/>
    <x v="1"/>
  </r>
  <r>
    <s v="V159"/>
    <n v="74"/>
    <s v="Retired"/>
    <n v="35"/>
    <s v="Healthcare &amp; Life Sciences"/>
    <n v="6"/>
    <b v="0"/>
    <s v="In-person outreach"/>
    <x v="10"/>
    <x v="3"/>
    <x v="1"/>
  </r>
  <r>
    <s v="V160"/>
    <n v="18"/>
    <s v="Student"/>
    <n v="0"/>
    <s v="Healthcare &amp; Life Sciences"/>
    <n v="3"/>
    <b v="1"/>
    <s v="University partnership"/>
    <x v="15"/>
    <x v="1"/>
    <x v="1"/>
  </r>
  <r>
    <s v="V161"/>
    <n v="20"/>
    <s v="Student"/>
    <n v="0"/>
    <s v="Healthcare &amp; Life Sciences"/>
    <n v="4"/>
    <b v="1"/>
    <s v="University partnership"/>
    <x v="15"/>
    <x v="1"/>
    <x v="1"/>
  </r>
  <r>
    <s v="V162"/>
    <n v="28"/>
    <s v="Employed"/>
    <n v="1"/>
    <s v="Natural Sciences &amp; Environment"/>
    <n v="1"/>
    <b v="0"/>
    <s v="Online marketing"/>
    <x v="18"/>
    <x v="4"/>
    <x v="1"/>
  </r>
  <r>
    <s v="V163"/>
    <n v="65"/>
    <s v="Not working/Homemaker"/>
    <n v="23"/>
    <s v="Business, Finance &amp; Management"/>
    <n v="5"/>
    <b v="0"/>
    <s v="In-person outreach"/>
    <x v="17"/>
    <x v="2"/>
    <x v="0"/>
  </r>
  <r>
    <s v="V164"/>
    <n v="21"/>
    <s v="Student"/>
    <n v="2"/>
    <s v="Healthcare &amp; Life Sciences"/>
    <n v="5"/>
    <b v="1"/>
    <s v="University partnership"/>
    <x v="18"/>
    <x v="1"/>
    <x v="0"/>
  </r>
  <r>
    <s v="V165"/>
    <n v="53"/>
    <s v="Not working/Homemaker"/>
    <n v="23"/>
    <s v="Information Technology &amp; Computer Science"/>
    <n v="3"/>
    <b v="0"/>
    <s v="In-person outreach"/>
    <x v="7"/>
    <x v="2"/>
    <x v="1"/>
  </r>
  <r>
    <s v="V166"/>
    <n v="63"/>
    <s v="Not working/Homemaker"/>
    <n v="40"/>
    <s v="Natural Sciences &amp; Environment"/>
    <n v="4"/>
    <b v="0"/>
    <s v="In-person outreach"/>
    <x v="12"/>
    <x v="2"/>
    <x v="0"/>
  </r>
  <r>
    <s v="V167"/>
    <n v="18"/>
    <s v="Student"/>
    <n v="1"/>
    <s v="Healthcare &amp; Life Sciences"/>
    <n v="4"/>
    <b v="1"/>
    <s v="University partnership"/>
    <x v="10"/>
    <x v="1"/>
    <x v="0"/>
  </r>
  <r>
    <s v="V168"/>
    <n v="20"/>
    <s v="Student"/>
    <n v="0"/>
    <s v="Healthcare &amp; Life Sciences"/>
    <n v="4"/>
    <b v="1"/>
    <s v="University partnership"/>
    <x v="8"/>
    <x v="1"/>
    <x v="1"/>
  </r>
  <r>
    <s v="V169"/>
    <n v="35"/>
    <s v="Not working/Homemaker"/>
    <n v="14"/>
    <s v="Natural Sciences &amp; Environment"/>
    <n v="3"/>
    <b v="0"/>
    <s v="In-person outreach"/>
    <x v="14"/>
    <x v="2"/>
    <x v="1"/>
  </r>
  <r>
    <s v="V170"/>
    <n v="18"/>
    <s v="Student"/>
    <n v="2"/>
    <s v="Healthcare &amp; Life Sciences"/>
    <n v="3"/>
    <b v="1"/>
    <s v="University partnership"/>
    <x v="8"/>
    <x v="1"/>
    <x v="0"/>
  </r>
  <r>
    <s v="V171"/>
    <n v="21"/>
    <s v="Student"/>
    <n v="1"/>
    <s v="Healthcare &amp; Life Sciences"/>
    <n v="5"/>
    <b v="1"/>
    <s v="University partnership"/>
    <x v="15"/>
    <x v="1"/>
    <x v="1"/>
  </r>
  <r>
    <s v="V172"/>
    <n v="21"/>
    <s v="Student"/>
    <n v="1"/>
    <s v="Education &amp; Training"/>
    <n v="5"/>
    <b v="1"/>
    <s v="University partnership"/>
    <x v="4"/>
    <x v="1"/>
    <x v="1"/>
  </r>
  <r>
    <s v="V173"/>
    <n v="46"/>
    <s v="Not working/Homemaker"/>
    <n v="2"/>
    <s v="Hospitality, Tourism &amp; Services"/>
    <n v="3"/>
    <b v="0"/>
    <s v="In-person outreach"/>
    <x v="13"/>
    <x v="2"/>
    <x v="0"/>
  </r>
  <r>
    <s v="V174"/>
    <n v="18"/>
    <s v="Student"/>
    <n v="1"/>
    <s v="Healthcare &amp; Life Sciences"/>
    <n v="5"/>
    <b v="1"/>
    <s v="University partnership"/>
    <x v="4"/>
    <x v="1"/>
    <x v="0"/>
  </r>
  <r>
    <s v="V175"/>
    <n v="18"/>
    <s v="Student"/>
    <n v="1"/>
    <s v="Healthcare &amp; Life Sciences"/>
    <n v="5"/>
    <b v="1"/>
    <s v="University partnership"/>
    <x v="10"/>
    <x v="1"/>
    <x v="1"/>
  </r>
  <r>
    <s v="V176"/>
    <n v="21"/>
    <s v="Student"/>
    <n v="2"/>
    <s v="Business, Finance &amp; Management"/>
    <n v="3"/>
    <b v="1"/>
    <s v="University partnership"/>
    <x v="20"/>
    <x v="1"/>
    <x v="1"/>
  </r>
  <r>
    <s v="V177"/>
    <n v="48"/>
    <s v="Employed"/>
    <n v="9"/>
    <s v="Hospitality, Tourism &amp; Services"/>
    <n v="1"/>
    <b v="1"/>
    <s v="Online marketing"/>
    <x v="16"/>
    <x v="0"/>
    <x v="0"/>
  </r>
  <r>
    <s v="V178"/>
    <n v="21"/>
    <s v="Student"/>
    <n v="0"/>
    <s v="Law, Governance &amp; Public Policy"/>
    <n v="3"/>
    <b v="0"/>
    <s v="University partnership"/>
    <x v="19"/>
    <x v="1"/>
    <x v="0"/>
  </r>
  <r>
    <s v="V179"/>
    <n v="19"/>
    <s v="Student"/>
    <n v="0"/>
    <s v="Healthcare &amp; Life Sciences"/>
    <n v="5"/>
    <b v="1"/>
    <s v="University partnership"/>
    <x v="10"/>
    <x v="1"/>
    <x v="0"/>
  </r>
  <r>
    <s v="V180"/>
    <n v="45"/>
    <s v="Employed"/>
    <n v="8"/>
    <s v="Business, Finance &amp; Management"/>
    <n v="0"/>
    <b v="0"/>
    <s v="Online marketing"/>
    <x v="11"/>
    <x v="0"/>
    <x v="1"/>
  </r>
  <r>
    <s v="V181"/>
    <n v="45"/>
    <s v="Employed"/>
    <n v="20"/>
    <s v="Education &amp; Training"/>
    <n v="1"/>
    <b v="0"/>
    <s v="Online marketing"/>
    <x v="16"/>
    <x v="0"/>
    <x v="0"/>
  </r>
  <r>
    <s v="V182"/>
    <n v="18"/>
    <s v="Student"/>
    <n v="1"/>
    <s v="Engineering &amp; Manufacturing"/>
    <n v="4"/>
    <b v="0"/>
    <s v="University partnership"/>
    <x v="3"/>
    <x v="1"/>
    <x v="0"/>
  </r>
  <r>
    <s v="V183"/>
    <n v="56"/>
    <s v="Retired"/>
    <n v="36"/>
    <s v="Healthcare &amp; Life Sciences"/>
    <n v="6"/>
    <b v="0"/>
    <s v="In-person outreach"/>
    <x v="3"/>
    <x v="3"/>
    <x v="0"/>
  </r>
  <r>
    <s v="V184"/>
    <n v="30"/>
    <s v="Employed"/>
    <n v="3"/>
    <s v="Hospitality, Tourism &amp; Services"/>
    <n v="1"/>
    <b v="0"/>
    <s v="Online marketing"/>
    <x v="13"/>
    <x v="4"/>
    <x v="1"/>
  </r>
  <r>
    <s v="V185"/>
    <n v="49"/>
    <s v="Not working/Homemaker"/>
    <n v="28"/>
    <s v="Natural Sciences &amp; Environment"/>
    <n v="5"/>
    <b v="0"/>
    <s v="In-person outreach"/>
    <x v="7"/>
    <x v="2"/>
    <x v="0"/>
  </r>
  <r>
    <s v="V186"/>
    <n v="18"/>
    <s v="Student"/>
    <n v="2"/>
    <s v="Healthcare &amp; Life Sciences"/>
    <n v="3"/>
    <b v="1"/>
    <s v="University partnership"/>
    <x v="6"/>
    <x v="1"/>
    <x v="0"/>
  </r>
  <r>
    <s v="V187"/>
    <n v="48"/>
    <s v="Employed"/>
    <n v="17"/>
    <s v="Trades &amp; Technical Services"/>
    <n v="2"/>
    <b v="0"/>
    <s v="Online marketing"/>
    <x v="2"/>
    <x v="0"/>
    <x v="1"/>
  </r>
  <r>
    <s v="V188"/>
    <n v="18"/>
    <s v="Student"/>
    <n v="2"/>
    <s v="Healthcare &amp; Life Sciences"/>
    <n v="5"/>
    <b v="1"/>
    <s v="University partnership"/>
    <x v="1"/>
    <x v="1"/>
    <x v="0"/>
  </r>
  <r>
    <s v="V189"/>
    <n v="27"/>
    <s v="Employed"/>
    <n v="4"/>
    <s v="Healthcare &amp; Life Sciences"/>
    <n v="3"/>
    <b v="0"/>
    <s v="Online marketing"/>
    <x v="18"/>
    <x v="4"/>
    <x v="1"/>
  </r>
  <r>
    <s v="V190"/>
    <n v="21"/>
    <s v="Student"/>
    <n v="1"/>
    <s v="Education &amp; Training"/>
    <n v="5"/>
    <b v="0"/>
    <s v="University partnership"/>
    <x v="9"/>
    <x v="1"/>
    <x v="1"/>
  </r>
  <r>
    <s v="V191"/>
    <n v="37"/>
    <s v="Not working/Homemaker"/>
    <n v="14"/>
    <s v="Hospitality, Tourism &amp; Services"/>
    <n v="3"/>
    <b v="1"/>
    <s v="In-person outreach"/>
    <x v="14"/>
    <x v="2"/>
    <x v="0"/>
  </r>
  <r>
    <s v="V192"/>
    <n v="51"/>
    <s v="Employed"/>
    <n v="17"/>
    <s v="Information Technology &amp; Computer Science"/>
    <n v="1"/>
    <b v="0"/>
    <s v="Online marketing"/>
    <x v="22"/>
    <x v="0"/>
    <x v="0"/>
  </r>
  <r>
    <s v="V193"/>
    <n v="66"/>
    <s v="Retired"/>
    <n v="29"/>
    <s v="Healthcare &amp; Life Sciences"/>
    <n v="7"/>
    <b v="0"/>
    <s v="In-person outreach"/>
    <x v="15"/>
    <x v="3"/>
    <x v="0"/>
  </r>
  <r>
    <s v="V194"/>
    <n v="26"/>
    <s v="Employed"/>
    <n v="3"/>
    <s v="Information Technology &amp; Computer Science"/>
    <n v="2"/>
    <b v="0"/>
    <s v="Online marketing"/>
    <x v="12"/>
    <x v="4"/>
    <x v="1"/>
  </r>
  <r>
    <s v="V195"/>
    <n v="20"/>
    <s v="Student"/>
    <n v="0"/>
    <s v="Healthcare &amp; Life Sciences"/>
    <n v="5"/>
    <b v="1"/>
    <s v="University partnership"/>
    <x v="15"/>
    <x v="1"/>
    <x v="0"/>
  </r>
  <r>
    <s v="V196"/>
    <n v="26"/>
    <s v="Employed"/>
    <n v="3"/>
    <s v="Hospitality, Tourism &amp; Services"/>
    <n v="1"/>
    <b v="0"/>
    <s v="Online marketing"/>
    <x v="12"/>
    <x v="4"/>
    <x v="1"/>
  </r>
  <r>
    <s v="V197"/>
    <n v="21"/>
    <s v="Student"/>
    <n v="2"/>
    <s v="Healthcare &amp; Life Sciences"/>
    <n v="4"/>
    <b v="1"/>
    <s v="University partnership"/>
    <x v="15"/>
    <x v="1"/>
    <x v="0"/>
  </r>
  <r>
    <s v="V198"/>
    <n v="20"/>
    <s v="Student"/>
    <n v="0"/>
    <s v="Healthcare &amp; Life Sciences"/>
    <n v="5"/>
    <b v="1"/>
    <s v="University partnership"/>
    <x v="15"/>
    <x v="1"/>
    <x v="1"/>
  </r>
  <r>
    <s v="V199"/>
    <n v="20"/>
    <s v="Student"/>
    <n v="2"/>
    <s v="Law, Governance &amp; Public Policy"/>
    <n v="4"/>
    <b v="0"/>
    <s v="University partnership"/>
    <x v="9"/>
    <x v="1"/>
    <x v="1"/>
  </r>
  <r>
    <s v="V200"/>
    <n v="39"/>
    <s v="Employed"/>
    <n v="21"/>
    <s v="Arts, Media &amp; Communications"/>
    <n v="1"/>
    <b v="0"/>
    <s v="Online marketing"/>
    <x v="11"/>
    <x v="0"/>
    <x v="0"/>
  </r>
  <r>
    <s v="V201"/>
    <n v="43"/>
    <s v="Not working/Homemaker"/>
    <n v="27"/>
    <s v="Engineering &amp; Manufacturing"/>
    <n v="3"/>
    <b v="0"/>
    <s v="In-person outreach"/>
    <x v="14"/>
    <x v="2"/>
    <x v="0"/>
  </r>
  <r>
    <s v="V202"/>
    <n v="19"/>
    <s v="Student"/>
    <n v="0"/>
    <s v="Healthcare &amp; Life Sciences"/>
    <n v="4"/>
    <b v="1"/>
    <s v="University partnership"/>
    <x v="15"/>
    <x v="1"/>
    <x v="0"/>
  </r>
  <r>
    <s v="V203"/>
    <n v="22"/>
    <s v="Employed"/>
    <n v="0"/>
    <s v="Trades &amp; Technical Services"/>
    <n v="2"/>
    <b v="0"/>
    <s v="Online marketing"/>
    <x v="13"/>
    <x v="4"/>
    <x v="1"/>
  </r>
  <r>
    <s v="V204"/>
    <n v="20"/>
    <s v="Student"/>
    <n v="1"/>
    <s v="Trades &amp; Technical Services"/>
    <n v="4"/>
    <b v="0"/>
    <s v="University partnership"/>
    <x v="20"/>
    <x v="1"/>
    <x v="0"/>
  </r>
  <r>
    <s v="V205"/>
    <n v="19"/>
    <s v="Student"/>
    <n v="0"/>
    <s v="Hospitality, Tourism &amp; Services"/>
    <n v="4"/>
    <b v="0"/>
    <s v="University partnership"/>
    <x v="3"/>
    <x v="1"/>
    <x v="0"/>
  </r>
  <r>
    <s v="V206"/>
    <n v="18"/>
    <s v="Student"/>
    <n v="2"/>
    <s v="Business, Finance &amp; Management"/>
    <n v="5"/>
    <b v="1"/>
    <s v="University partnership"/>
    <x v="3"/>
    <x v="1"/>
    <x v="0"/>
  </r>
  <r>
    <s v="V207"/>
    <n v="25"/>
    <s v="Employed"/>
    <n v="5"/>
    <s v="Hospitality, Tourism &amp; Services"/>
    <n v="0"/>
    <b v="0"/>
    <s v="Online marketing"/>
    <x v="1"/>
    <x v="4"/>
    <x v="0"/>
  </r>
  <r>
    <s v="V208"/>
    <n v="20"/>
    <s v="Student"/>
    <n v="1"/>
    <s v="Healthcare &amp; Life Sciences"/>
    <n v="5"/>
    <b v="1"/>
    <s v="University partnership"/>
    <x v="15"/>
    <x v="1"/>
    <x v="0"/>
  </r>
  <r>
    <s v="V209"/>
    <n v="37"/>
    <s v="Not working/Homemaker"/>
    <n v="10"/>
    <s v="Education &amp; Training"/>
    <n v="5"/>
    <b v="0"/>
    <s v="In-person outreach"/>
    <x v="12"/>
    <x v="2"/>
    <x v="1"/>
  </r>
  <r>
    <s v="V210"/>
    <n v="38"/>
    <s v="Employed"/>
    <n v="12"/>
    <s v="Arts, Media &amp; Communications"/>
    <n v="1"/>
    <b v="0"/>
    <s v="Online marketing"/>
    <x v="5"/>
    <x v="0"/>
    <x v="0"/>
  </r>
  <r>
    <s v="V211"/>
    <n v="22"/>
    <s v="Employed"/>
    <n v="2"/>
    <s v="Hospitality, Tourism &amp; Services"/>
    <n v="2"/>
    <b v="0"/>
    <s v="Online marketing"/>
    <x v="15"/>
    <x v="4"/>
    <x v="0"/>
  </r>
  <r>
    <s v="V212"/>
    <n v="19"/>
    <s v="Student"/>
    <n v="0"/>
    <s v="Healthcare &amp; Life Sciences"/>
    <n v="4"/>
    <b v="1"/>
    <s v="University partnership"/>
    <x v="4"/>
    <x v="1"/>
    <x v="0"/>
  </r>
  <r>
    <s v="V213"/>
    <n v="23"/>
    <s v="Employed"/>
    <n v="2"/>
    <s v="Natural Sciences &amp; Environment"/>
    <n v="2"/>
    <b v="0"/>
    <s v="Online marketing"/>
    <x v="15"/>
    <x v="4"/>
    <x v="1"/>
  </r>
  <r>
    <s v="V214"/>
    <n v="23"/>
    <s v="Employed"/>
    <n v="0"/>
    <s v="Education &amp; Training"/>
    <n v="0"/>
    <b v="0"/>
    <s v="Online marketing"/>
    <x v="13"/>
    <x v="4"/>
    <x v="0"/>
  </r>
  <r>
    <s v="V215"/>
    <n v="30"/>
    <s v="Employed"/>
    <n v="3"/>
    <s v="Education &amp; Training"/>
    <n v="0"/>
    <b v="1"/>
    <s v="Online marketing"/>
    <x v="6"/>
    <x v="4"/>
    <x v="0"/>
  </r>
  <r>
    <s v="V216"/>
    <n v="31"/>
    <s v="Employed"/>
    <n v="12"/>
    <s v="Arts, Media &amp; Communications"/>
    <n v="0"/>
    <b v="0"/>
    <s v="Online marketing"/>
    <x v="0"/>
    <x v="0"/>
    <x v="0"/>
  </r>
  <r>
    <s v="V217"/>
    <n v="49"/>
    <s v="Employed"/>
    <n v="12"/>
    <s v="Education &amp; Training"/>
    <n v="1"/>
    <b v="0"/>
    <s v="Online marketing"/>
    <x v="11"/>
    <x v="0"/>
    <x v="0"/>
  </r>
  <r>
    <s v="V218"/>
    <n v="30"/>
    <s v="Employed"/>
    <n v="0"/>
    <s v="Trades &amp; Technical Services"/>
    <n v="0"/>
    <b v="0"/>
    <s v="Online marketing"/>
    <x v="12"/>
    <x v="4"/>
    <x v="0"/>
  </r>
  <r>
    <s v="V219"/>
    <n v="49"/>
    <s v="Employed"/>
    <n v="15"/>
    <s v="Arts, Media &amp; Communications"/>
    <n v="0"/>
    <b v="1"/>
    <s v="Online marketing"/>
    <x v="16"/>
    <x v="0"/>
    <x v="0"/>
  </r>
  <r>
    <s v="V220"/>
    <n v="27"/>
    <s v="Employed"/>
    <n v="3"/>
    <s v="Trades &amp; Technical Services"/>
    <n v="0"/>
    <b v="0"/>
    <s v="Online marketing"/>
    <x v="12"/>
    <x v="4"/>
    <x v="0"/>
  </r>
  <r>
    <s v="V221"/>
    <n v="32"/>
    <s v="Employed"/>
    <n v="10"/>
    <s v="Hospitality, Tourism &amp; Services"/>
    <n v="1"/>
    <b v="1"/>
    <s v="Online marketing"/>
    <x v="11"/>
    <x v="0"/>
    <x v="0"/>
  </r>
  <r>
    <s v="V222"/>
    <n v="28"/>
    <s v="Employed"/>
    <n v="2"/>
    <s v="Trades &amp; Technical Services"/>
    <n v="2"/>
    <b v="0"/>
    <s v="Online marketing"/>
    <x v="13"/>
    <x v="4"/>
    <x v="0"/>
  </r>
  <r>
    <s v="V223"/>
    <n v="21"/>
    <s v="Student"/>
    <n v="2"/>
    <s v="Healthcare &amp; Life Sciences"/>
    <n v="3"/>
    <b v="1"/>
    <s v="University partnership"/>
    <x v="8"/>
    <x v="1"/>
    <x v="0"/>
  </r>
  <r>
    <s v="V224"/>
    <n v="18"/>
    <s v="Student"/>
    <n v="1"/>
    <s v="Education &amp; Training"/>
    <n v="3"/>
    <b v="1"/>
    <s v="University partnership"/>
    <x v="9"/>
    <x v="1"/>
    <x v="1"/>
  </r>
  <r>
    <s v="V225"/>
    <n v="20"/>
    <s v="Student"/>
    <n v="1"/>
    <s v="Healthcare &amp; Life Sciences"/>
    <n v="3"/>
    <b v="1"/>
    <s v="University partnership"/>
    <x v="18"/>
    <x v="1"/>
    <x v="0"/>
  </r>
  <r>
    <s v="V226"/>
    <n v="36"/>
    <s v="Employed"/>
    <n v="9"/>
    <s v="Business, Finance &amp; Management"/>
    <n v="0"/>
    <b v="0"/>
    <s v="Online marketing"/>
    <x v="5"/>
    <x v="0"/>
    <x v="1"/>
  </r>
  <r>
    <s v="V227"/>
    <n v="30"/>
    <s v="Employed"/>
    <n v="1"/>
    <s v="Arts, Media &amp; Communications"/>
    <n v="2"/>
    <b v="1"/>
    <s v="Online marketing"/>
    <x v="13"/>
    <x v="4"/>
    <x v="0"/>
  </r>
  <r>
    <s v="V228"/>
    <n v="45"/>
    <s v="Not working/Homemaker"/>
    <n v="27"/>
    <s v="Trades &amp; Technical Services"/>
    <n v="5"/>
    <b v="0"/>
    <s v="In-person outreach"/>
    <x v="13"/>
    <x v="2"/>
    <x v="0"/>
  </r>
  <r>
    <s v="V229"/>
    <n v="23"/>
    <s v="Employed"/>
    <n v="1"/>
    <s v="Law, Governance &amp; Public Policy"/>
    <n v="0"/>
    <b v="0"/>
    <s v="Online marketing"/>
    <x v="18"/>
    <x v="4"/>
    <x v="0"/>
  </r>
  <r>
    <s v="V230"/>
    <n v="19"/>
    <s v="Student"/>
    <n v="2"/>
    <s v="Healthcare &amp; Life Sciences"/>
    <n v="5"/>
    <b v="1"/>
    <s v="University partnership"/>
    <x v="15"/>
    <x v="1"/>
    <x v="0"/>
  </r>
  <r>
    <s v="V231"/>
    <n v="19"/>
    <s v="Student"/>
    <n v="2"/>
    <s v="Healthcare &amp; Life Sciences"/>
    <n v="3"/>
    <b v="1"/>
    <s v="University partnership"/>
    <x v="1"/>
    <x v="1"/>
    <x v="1"/>
  </r>
  <r>
    <s v="V232"/>
    <n v="19"/>
    <s v="Student"/>
    <n v="1"/>
    <s v="Healthcare &amp; Life Sciences"/>
    <n v="3"/>
    <b v="1"/>
    <s v="University partnership"/>
    <x v="10"/>
    <x v="1"/>
    <x v="1"/>
  </r>
  <r>
    <s v="V233"/>
    <n v="32"/>
    <s v="Not working/Homemaker"/>
    <n v="3"/>
    <s v="Law, Governance &amp; Public Policy"/>
    <n v="5"/>
    <b v="0"/>
    <s v="In-person outreach"/>
    <x v="6"/>
    <x v="2"/>
    <x v="1"/>
  </r>
  <r>
    <s v="V234"/>
    <n v="21"/>
    <s v="Student"/>
    <n v="0"/>
    <s v="Healthcare &amp; Life Sciences"/>
    <n v="3"/>
    <b v="1"/>
    <s v="University partnership"/>
    <x v="8"/>
    <x v="1"/>
    <x v="0"/>
  </r>
  <r>
    <s v="V235"/>
    <n v="51"/>
    <s v="Employed"/>
    <n v="7"/>
    <s v="Arts, Media &amp; Communications"/>
    <n v="2"/>
    <b v="0"/>
    <s v="Online marketing"/>
    <x v="2"/>
    <x v="0"/>
    <x v="1"/>
  </r>
  <r>
    <s v="V236"/>
    <n v="40"/>
    <s v="Employed"/>
    <n v="23"/>
    <s v="Business, Finance &amp; Management"/>
    <n v="0"/>
    <b v="0"/>
    <s v="Online marketing"/>
    <x v="16"/>
    <x v="0"/>
    <x v="0"/>
  </r>
  <r>
    <s v="V237"/>
    <n v="42"/>
    <s v="Employed"/>
    <n v="19"/>
    <s v="Healthcare &amp; Life Sciences"/>
    <n v="3"/>
    <b v="0"/>
    <s v="Online marketing"/>
    <x v="9"/>
    <x v="0"/>
    <x v="0"/>
  </r>
  <r>
    <s v="V238"/>
    <n v="21"/>
    <s v="Student"/>
    <n v="1"/>
    <s v="Natural Sciences &amp; Environment"/>
    <n v="3"/>
    <b v="0"/>
    <s v="University partnership"/>
    <x v="3"/>
    <x v="1"/>
    <x v="1"/>
  </r>
  <r>
    <s v="V239"/>
    <n v="19"/>
    <s v="Student"/>
    <n v="2"/>
    <s v="Hospitality, Tourism &amp; Services"/>
    <n v="5"/>
    <b v="0"/>
    <s v="University partnership"/>
    <x v="9"/>
    <x v="1"/>
    <x v="0"/>
  </r>
  <r>
    <s v="V240"/>
    <n v="21"/>
    <s v="Student"/>
    <n v="1"/>
    <s v="Trades &amp; Technical Services"/>
    <n v="3"/>
    <b v="0"/>
    <s v="University partnership"/>
    <x v="3"/>
    <x v="1"/>
    <x v="0"/>
  </r>
  <r>
    <s v="V241"/>
    <n v="43"/>
    <s v="Employed"/>
    <n v="14"/>
    <s v="Education &amp; Training"/>
    <n v="1"/>
    <b v="0"/>
    <s v="Online marketing"/>
    <x v="2"/>
    <x v="0"/>
    <x v="0"/>
  </r>
  <r>
    <s v="V242"/>
    <n v="20"/>
    <s v="Student"/>
    <n v="1"/>
    <s v="Hospitality, Tourism &amp; Services"/>
    <n v="4"/>
    <b v="1"/>
    <s v="University partnership"/>
    <x v="10"/>
    <x v="1"/>
    <x v="0"/>
  </r>
  <r>
    <s v="V243"/>
    <n v="28"/>
    <s v="Not working/Homemaker"/>
    <n v="5"/>
    <s v="Arts, Media &amp; Communications"/>
    <n v="5"/>
    <b v="0"/>
    <s v="In-person outreach"/>
    <x v="13"/>
    <x v="2"/>
    <x v="0"/>
  </r>
  <r>
    <s v="V244"/>
    <n v="18"/>
    <s v="Student"/>
    <n v="0"/>
    <s v="Healthcare &amp; Life Sciences"/>
    <n v="5"/>
    <b v="1"/>
    <s v="University partnership"/>
    <x v="18"/>
    <x v="1"/>
    <x v="0"/>
  </r>
  <r>
    <s v="V245"/>
    <n v="53"/>
    <s v="Employed"/>
    <n v="15"/>
    <s v="Natural Sciences &amp; Environment"/>
    <n v="2"/>
    <b v="0"/>
    <s v="Online marketing"/>
    <x v="5"/>
    <x v="0"/>
    <x v="1"/>
  </r>
  <r>
    <s v="V246"/>
    <n v="19"/>
    <s v="Student"/>
    <n v="1"/>
    <s v="Healthcare &amp; Life Sciences"/>
    <n v="3"/>
    <b v="1"/>
    <s v="University partnership"/>
    <x v="1"/>
    <x v="1"/>
    <x v="0"/>
  </r>
  <r>
    <s v="V247"/>
    <n v="21"/>
    <s v="Student"/>
    <n v="1"/>
    <s v="Healthcare &amp; Life Sciences"/>
    <n v="3"/>
    <b v="1"/>
    <s v="University partnership"/>
    <x v="1"/>
    <x v="1"/>
    <x v="1"/>
  </r>
  <r>
    <s v="V248"/>
    <n v="20"/>
    <s v="Student"/>
    <n v="2"/>
    <s v="Healthcare &amp; Life Sciences"/>
    <n v="5"/>
    <b v="1"/>
    <s v="University partnership"/>
    <x v="8"/>
    <x v="1"/>
    <x v="1"/>
  </r>
  <r>
    <s v="V249"/>
    <n v="30"/>
    <s v="Employed"/>
    <n v="3"/>
    <s v="Law, Governance &amp; Public Policy"/>
    <n v="0"/>
    <b v="0"/>
    <s v="Online marketing"/>
    <x v="13"/>
    <x v="4"/>
    <x v="1"/>
  </r>
  <r>
    <s v="V250"/>
    <n v="19"/>
    <s v="Student"/>
    <n v="2"/>
    <s v="Hospitality, Tourism &amp; Services"/>
    <n v="4"/>
    <b v="1"/>
    <s v="University partnership"/>
    <x v="21"/>
    <x v="1"/>
    <x v="0"/>
  </r>
  <r>
    <s v="V251"/>
    <n v="22"/>
    <s v="Not working/Homemaker"/>
    <n v="6"/>
    <s v="Law, Governance &amp; Public Policy"/>
    <n v="5"/>
    <b v="0"/>
    <s v="In-person outreach"/>
    <x v="6"/>
    <x v="2"/>
    <x v="0"/>
  </r>
  <r>
    <s v="V252"/>
    <n v="22"/>
    <s v="Employed"/>
    <n v="1"/>
    <s v="Arts, Media &amp; Communications"/>
    <n v="1"/>
    <b v="0"/>
    <s v="Online marketing"/>
    <x v="12"/>
    <x v="4"/>
    <x v="0"/>
  </r>
  <r>
    <s v="V253"/>
    <n v="57"/>
    <s v="Not working/Homemaker"/>
    <n v="29"/>
    <s v="Law, Governance &amp; Public Policy"/>
    <n v="5"/>
    <b v="0"/>
    <s v="In-person outreach"/>
    <x v="18"/>
    <x v="2"/>
    <x v="0"/>
  </r>
  <r>
    <s v="V254"/>
    <n v="18"/>
    <s v="Student"/>
    <n v="0"/>
    <s v="Education &amp; Training"/>
    <n v="5"/>
    <b v="1"/>
    <s v="University partnership"/>
    <x v="21"/>
    <x v="1"/>
    <x v="0"/>
  </r>
  <r>
    <s v="V255"/>
    <n v="30"/>
    <s v="Employed"/>
    <n v="1"/>
    <s v="Arts, Media &amp; Communications"/>
    <n v="0"/>
    <b v="1"/>
    <s v="Online marketing"/>
    <x v="13"/>
    <x v="4"/>
    <x v="0"/>
  </r>
  <r>
    <s v="V256"/>
    <n v="58"/>
    <s v="Retired"/>
    <n v="29"/>
    <s v="Arts, Media &amp; Communications"/>
    <n v="5"/>
    <b v="0"/>
    <s v="In-person outreach"/>
    <x v="18"/>
    <x v="3"/>
    <x v="0"/>
  </r>
  <r>
    <s v="V257"/>
    <n v="20"/>
    <s v="Student"/>
    <n v="1"/>
    <s v="Healthcare &amp; Life Sciences"/>
    <n v="4"/>
    <b v="1"/>
    <s v="University partnership"/>
    <x v="10"/>
    <x v="1"/>
    <x v="0"/>
  </r>
  <r>
    <s v="V258"/>
    <n v="48"/>
    <s v="Employed"/>
    <n v="17"/>
    <s v="Engineering &amp; Manufacturing"/>
    <n v="2"/>
    <b v="0"/>
    <s v="Online marketing"/>
    <x v="16"/>
    <x v="0"/>
    <x v="1"/>
  </r>
  <r>
    <s v="V259"/>
    <n v="20"/>
    <s v="Student"/>
    <n v="1"/>
    <s v="Healthcare &amp; Life Sciences"/>
    <n v="5"/>
    <b v="1"/>
    <s v="University partnership"/>
    <x v="8"/>
    <x v="1"/>
    <x v="0"/>
  </r>
  <r>
    <s v="V260"/>
    <n v="23"/>
    <s v="Not working/Homemaker"/>
    <n v="3"/>
    <s v="Natural Sciences &amp; Environment"/>
    <n v="4"/>
    <b v="0"/>
    <s v="In-person outreach"/>
    <x v="18"/>
    <x v="2"/>
    <x v="1"/>
  </r>
  <r>
    <s v="V261"/>
    <n v="28"/>
    <s v="Employed"/>
    <n v="5"/>
    <s v="Hospitality, Tourism &amp; Services"/>
    <n v="0"/>
    <b v="1"/>
    <s v="Online marketing"/>
    <x v="8"/>
    <x v="4"/>
    <x v="0"/>
  </r>
  <r>
    <s v="V262"/>
    <n v="20"/>
    <s v="Student"/>
    <n v="0"/>
    <s v="Healthcare &amp; Life Sciences"/>
    <n v="5"/>
    <b v="1"/>
    <s v="University partnership"/>
    <x v="10"/>
    <x v="1"/>
    <x v="0"/>
  </r>
  <r>
    <s v="V263"/>
    <n v="54"/>
    <s v="Employed"/>
    <n v="16"/>
    <s v="Information Technology &amp; Computer Science"/>
    <n v="0"/>
    <b v="0"/>
    <s v="Online marketing"/>
    <x v="2"/>
    <x v="0"/>
    <x v="1"/>
  </r>
  <r>
    <s v="V264"/>
    <n v="18"/>
    <s v="Student"/>
    <n v="1"/>
    <s v="Healthcare &amp; Life Sciences"/>
    <n v="3"/>
    <b v="1"/>
    <s v="University partnership"/>
    <x v="4"/>
    <x v="1"/>
    <x v="0"/>
  </r>
  <r>
    <s v="V265"/>
    <n v="20"/>
    <s v="Student"/>
    <n v="1"/>
    <s v="Healthcare &amp; Life Sciences"/>
    <n v="3"/>
    <b v="1"/>
    <s v="University partnership"/>
    <x v="1"/>
    <x v="1"/>
    <x v="1"/>
  </r>
  <r>
    <s v="V266"/>
    <n v="24"/>
    <s v="Employed"/>
    <n v="1"/>
    <s v="Education &amp; Training"/>
    <n v="1"/>
    <b v="0"/>
    <s v="Online marketing"/>
    <x v="1"/>
    <x v="4"/>
    <x v="1"/>
  </r>
  <r>
    <s v="V267"/>
    <n v="29"/>
    <s v="Not working/Homemaker"/>
    <n v="4"/>
    <s v="Arts, Media &amp; Communications"/>
    <n v="3"/>
    <b v="0"/>
    <s v="In-person outreach"/>
    <x v="12"/>
    <x v="2"/>
    <x v="0"/>
  </r>
  <r>
    <s v="V268"/>
    <n v="18"/>
    <s v="Student"/>
    <n v="2"/>
    <s v="Healthcare &amp; Life Sciences"/>
    <n v="5"/>
    <b v="1"/>
    <s v="University partnership"/>
    <x v="6"/>
    <x v="1"/>
    <x v="0"/>
  </r>
  <r>
    <s v="V269"/>
    <n v="60"/>
    <s v="Retired"/>
    <n v="38"/>
    <s v="Healthcare &amp; Life Sciences"/>
    <n v="6"/>
    <b v="0"/>
    <s v="In-person outreach"/>
    <x v="18"/>
    <x v="3"/>
    <x v="1"/>
  </r>
  <r>
    <s v="V270"/>
    <n v="21"/>
    <s v="Student"/>
    <n v="2"/>
    <s v="Healthcare &amp; Life Sciences"/>
    <n v="3"/>
    <b v="1"/>
    <s v="University partnership"/>
    <x v="10"/>
    <x v="1"/>
    <x v="1"/>
  </r>
  <r>
    <s v="V271"/>
    <n v="19"/>
    <s v="Student"/>
    <n v="1"/>
    <s v="Education &amp; Training"/>
    <n v="3"/>
    <b v="0"/>
    <s v="University partnership"/>
    <x v="20"/>
    <x v="1"/>
    <x v="1"/>
  </r>
  <r>
    <s v="V272"/>
    <n v="29"/>
    <s v="Employed"/>
    <n v="5"/>
    <s v="Healthcare &amp; Life Sciences"/>
    <n v="3"/>
    <b v="0"/>
    <s v="Online marketing"/>
    <x v="1"/>
    <x v="4"/>
    <x v="0"/>
  </r>
  <r>
    <s v="V273"/>
    <n v="26"/>
    <s v="Employed"/>
    <n v="5"/>
    <s v="Business, Finance &amp; Management"/>
    <n v="0"/>
    <b v="0"/>
    <s v="Online marketing"/>
    <x v="6"/>
    <x v="4"/>
    <x v="1"/>
  </r>
  <r>
    <s v="V274"/>
    <n v="30"/>
    <s v="Employed"/>
    <n v="5"/>
    <s v="Arts, Media &amp; Communications"/>
    <n v="1"/>
    <b v="0"/>
    <s v="Online marketing"/>
    <x v="15"/>
    <x v="4"/>
    <x v="0"/>
  </r>
  <r>
    <s v="V275"/>
    <n v="29"/>
    <s v="Employed"/>
    <n v="5"/>
    <s v="Hospitality, Tourism &amp; Services"/>
    <n v="2"/>
    <b v="0"/>
    <s v="Online marketing"/>
    <x v="13"/>
    <x v="4"/>
    <x v="0"/>
  </r>
  <r>
    <s v="V276"/>
    <n v="46"/>
    <s v="Employed"/>
    <n v="9"/>
    <s v="Education &amp; Training"/>
    <n v="1"/>
    <b v="0"/>
    <s v="Online marketing"/>
    <x v="23"/>
    <x v="0"/>
    <x v="0"/>
  </r>
  <r>
    <s v="V277"/>
    <n v="44"/>
    <s v="Employed"/>
    <n v="24"/>
    <s v="Business, Finance &amp; Management"/>
    <n v="2"/>
    <b v="0"/>
    <s v="Online marketing"/>
    <x v="22"/>
    <x v="0"/>
    <x v="0"/>
  </r>
  <r>
    <s v="V278"/>
    <n v="52"/>
    <s v="Employed"/>
    <n v="12"/>
    <s v="Engineering &amp; Manufacturing"/>
    <n v="0"/>
    <b v="0"/>
    <s v="Online marketing"/>
    <x v="23"/>
    <x v="0"/>
    <x v="0"/>
  </r>
  <r>
    <s v="V279"/>
    <n v="23"/>
    <s v="Employed"/>
    <n v="3"/>
    <s v="Law, Governance &amp; Public Policy"/>
    <n v="0"/>
    <b v="0"/>
    <s v="Online marketing"/>
    <x v="18"/>
    <x v="4"/>
    <x v="0"/>
  </r>
  <r>
    <s v="V280"/>
    <n v="19"/>
    <s v="Student"/>
    <n v="0"/>
    <s v="Healthcare &amp; Life Sciences"/>
    <n v="4"/>
    <b v="1"/>
    <s v="University partnership"/>
    <x v="15"/>
    <x v="1"/>
    <x v="0"/>
  </r>
  <r>
    <s v="V281"/>
    <n v="23"/>
    <s v="Employed"/>
    <n v="1"/>
    <s v="Information Technology &amp; Computer Science"/>
    <n v="0"/>
    <b v="0"/>
    <s v="Online marketing"/>
    <x v="8"/>
    <x v="4"/>
    <x v="1"/>
  </r>
  <r>
    <s v="V282"/>
    <n v="25"/>
    <s v="Employed"/>
    <n v="2"/>
    <s v="Healthcare &amp; Life Sciences"/>
    <n v="2"/>
    <b v="0"/>
    <s v="Online marketing"/>
    <x v="6"/>
    <x v="4"/>
    <x v="0"/>
  </r>
  <r>
    <s v="V283"/>
    <n v="75"/>
    <s v="Retired"/>
    <n v="34"/>
    <s v="Hospitality, Tourism &amp; Services"/>
    <n v="3"/>
    <b v="0"/>
    <s v="In-person outreach"/>
    <x v="3"/>
    <x v="3"/>
    <x v="1"/>
  </r>
  <r>
    <s v="V284"/>
    <n v="26"/>
    <s v="Employed"/>
    <n v="3"/>
    <s v="Healthcare &amp; Life Sciences"/>
    <n v="2"/>
    <b v="0"/>
    <s v="Online marketing"/>
    <x v="10"/>
    <x v="4"/>
    <x v="0"/>
  </r>
  <r>
    <s v="V285"/>
    <n v="18"/>
    <s v="Student"/>
    <n v="1"/>
    <s v="Healthcare &amp; Life Sciences"/>
    <n v="5"/>
    <b v="1"/>
    <s v="University partnership"/>
    <x v="18"/>
    <x v="1"/>
    <x v="1"/>
  </r>
  <r>
    <s v="V286"/>
    <n v="59"/>
    <s v="Retired"/>
    <n v="31"/>
    <s v="Natural Sciences &amp; Environment"/>
    <n v="4"/>
    <b v="0"/>
    <s v="In-person outreach"/>
    <x v="4"/>
    <x v="3"/>
    <x v="1"/>
  </r>
  <r>
    <s v="V287"/>
    <n v="30"/>
    <s v="Employed"/>
    <n v="0"/>
    <s v="Hospitality, Tourism &amp; Services"/>
    <n v="0"/>
    <b v="0"/>
    <s v="Online marketing"/>
    <x v="18"/>
    <x v="4"/>
    <x v="0"/>
  </r>
  <r>
    <s v="V288"/>
    <n v="29"/>
    <s v="Not working/Homemaker"/>
    <n v="13"/>
    <s v="Business, Finance &amp; Management"/>
    <n v="3"/>
    <b v="0"/>
    <s v="In-person outreach"/>
    <x v="13"/>
    <x v="2"/>
    <x v="0"/>
  </r>
  <r>
    <s v="V289"/>
    <n v="52"/>
    <s v="Employed"/>
    <n v="13"/>
    <s v="Hospitality, Tourism &amp; Services"/>
    <n v="2"/>
    <b v="1"/>
    <s v="Online marketing"/>
    <x v="5"/>
    <x v="0"/>
    <x v="0"/>
  </r>
  <r>
    <s v="V290"/>
    <n v="27"/>
    <s v="Employed"/>
    <n v="0"/>
    <s v="Natural Sciences &amp; Environment"/>
    <n v="1"/>
    <b v="1"/>
    <s v="Online marketing"/>
    <x v="8"/>
    <x v="4"/>
    <x v="0"/>
  </r>
  <r>
    <s v="V291"/>
    <n v="31"/>
    <s v="Employed"/>
    <n v="15"/>
    <s v="Engineering &amp; Manufacturing"/>
    <n v="2"/>
    <b v="0"/>
    <s v="Online marketing"/>
    <x v="2"/>
    <x v="0"/>
    <x v="0"/>
  </r>
  <r>
    <s v="V292"/>
    <n v="25"/>
    <s v="Employed"/>
    <n v="4"/>
    <s v="Law, Governance &amp; Public Policy"/>
    <n v="2"/>
    <b v="0"/>
    <s v="Online marketing"/>
    <x v="13"/>
    <x v="4"/>
    <x v="0"/>
  </r>
  <r>
    <s v="V293"/>
    <n v="32"/>
    <s v="Employed"/>
    <n v="11"/>
    <s v="Education &amp; Training"/>
    <n v="0"/>
    <b v="0"/>
    <s v="Online marketing"/>
    <x v="5"/>
    <x v="0"/>
    <x v="0"/>
  </r>
  <r>
    <s v="V294"/>
    <n v="49"/>
    <s v="Employed"/>
    <n v="11"/>
    <s v="Business, Finance &amp; Management"/>
    <n v="1"/>
    <b v="0"/>
    <s v="Online marketing"/>
    <x v="16"/>
    <x v="0"/>
    <x v="0"/>
  </r>
  <r>
    <s v="V295"/>
    <n v="21"/>
    <s v="Student"/>
    <n v="2"/>
    <s v="Healthcare &amp; Life Sciences"/>
    <n v="4"/>
    <b v="1"/>
    <s v="University partnership"/>
    <x v="15"/>
    <x v="1"/>
    <x v="0"/>
  </r>
  <r>
    <s v="V296"/>
    <n v="19"/>
    <s v="Student"/>
    <n v="1"/>
    <s v="Natural Sciences &amp; Environment"/>
    <n v="5"/>
    <b v="1"/>
    <s v="University partnership"/>
    <x v="3"/>
    <x v="1"/>
    <x v="1"/>
  </r>
  <r>
    <s v="V297"/>
    <n v="25"/>
    <s v="Employed"/>
    <n v="3"/>
    <s v="Trades &amp; Technical Services"/>
    <n v="1"/>
    <b v="0"/>
    <s v="Online marketing"/>
    <x v="8"/>
    <x v="4"/>
    <x v="0"/>
  </r>
  <r>
    <s v="V298"/>
    <n v="64"/>
    <s v="Not working/Homemaker"/>
    <n v="3"/>
    <s v="Arts, Media &amp; Communications"/>
    <n v="3"/>
    <b v="0"/>
    <s v="In-person outreach"/>
    <x v="7"/>
    <x v="2"/>
    <x v="0"/>
  </r>
  <r>
    <s v="V299"/>
    <n v="47"/>
    <s v="Not working/Homemaker"/>
    <n v="28"/>
    <s v="Law, Governance &amp; Public Policy"/>
    <n v="3"/>
    <b v="0"/>
    <s v="In-person outreach"/>
    <x v="13"/>
    <x v="2"/>
    <x v="0"/>
  </r>
  <r>
    <s v="V300"/>
    <n v="50"/>
    <s v="Not working/Homemaker"/>
    <n v="12"/>
    <s v="Law, Governance &amp; Public Policy"/>
    <n v="3"/>
    <b v="0"/>
    <s v="In-person outreach"/>
    <x v="13"/>
    <x v="2"/>
    <x v="0"/>
  </r>
  <r>
    <s v="V301"/>
    <n v="66"/>
    <s v="Retired"/>
    <n v="39"/>
    <s v="Natural Sciences &amp; Environment"/>
    <n v="5"/>
    <b v="0"/>
    <s v="In-person outreach"/>
    <x v="15"/>
    <x v="3"/>
    <x v="0"/>
  </r>
  <r>
    <s v="V302"/>
    <n v="29"/>
    <s v="Employed"/>
    <n v="4"/>
    <s v="Trades &amp; Technical Services"/>
    <n v="1"/>
    <b v="0"/>
    <s v="Online marketing"/>
    <x v="12"/>
    <x v="4"/>
    <x v="0"/>
  </r>
  <r>
    <s v="V303"/>
    <n v="27"/>
    <s v="Employed"/>
    <n v="4"/>
    <s v="Arts, Media &amp; Communications"/>
    <n v="1"/>
    <b v="0"/>
    <s v="Online marketing"/>
    <x v="8"/>
    <x v="4"/>
    <x v="0"/>
  </r>
  <r>
    <s v="V304"/>
    <n v="19"/>
    <s v="Student"/>
    <n v="1"/>
    <s v="Trades &amp; Technical Services"/>
    <n v="3"/>
    <b v="0"/>
    <s v="University partnership"/>
    <x v="19"/>
    <x v="1"/>
    <x v="0"/>
  </r>
  <r>
    <s v="V305"/>
    <n v="21"/>
    <s v="Student"/>
    <n v="2"/>
    <s v="Healthcare &amp; Life Sciences"/>
    <n v="5"/>
    <b v="1"/>
    <s v="University partnership"/>
    <x v="15"/>
    <x v="1"/>
    <x v="0"/>
  </r>
  <r>
    <s v="V306"/>
    <n v="18"/>
    <s v="Student"/>
    <n v="2"/>
    <s v="Engineering &amp; Manufacturing"/>
    <n v="3"/>
    <b v="0"/>
    <s v="University partnership"/>
    <x v="20"/>
    <x v="1"/>
    <x v="1"/>
  </r>
  <r>
    <s v="V307"/>
    <n v="26"/>
    <s v="Employed"/>
    <n v="4"/>
    <s v="Engineering &amp; Manufacturing"/>
    <n v="1"/>
    <b v="1"/>
    <s v="Online marketing"/>
    <x v="15"/>
    <x v="4"/>
    <x v="0"/>
  </r>
  <r>
    <s v="V308"/>
    <n v="26"/>
    <s v="Employed"/>
    <n v="5"/>
    <s v="Law, Governance &amp; Public Policy"/>
    <n v="1"/>
    <b v="1"/>
    <s v="Online marketing"/>
    <x v="13"/>
    <x v="4"/>
    <x v="0"/>
  </r>
  <r>
    <s v="V309"/>
    <n v="21"/>
    <s v="Student"/>
    <n v="0"/>
    <s v="Healthcare &amp; Life Sciences"/>
    <n v="5"/>
    <b v="1"/>
    <s v="University partnership"/>
    <x v="15"/>
    <x v="1"/>
    <x v="0"/>
  </r>
  <r>
    <s v="V310"/>
    <n v="19"/>
    <s v="Student"/>
    <n v="1"/>
    <s v="Healthcare &amp; Life Sciences"/>
    <n v="5"/>
    <b v="1"/>
    <s v="University partnership"/>
    <x v="8"/>
    <x v="1"/>
    <x v="1"/>
  </r>
  <r>
    <s v="V311"/>
    <n v="53"/>
    <s v="Employed"/>
    <n v="14"/>
    <s v="Hospitality, Tourism &amp; Services"/>
    <n v="2"/>
    <b v="0"/>
    <s v="Online marketing"/>
    <x v="11"/>
    <x v="0"/>
    <x v="1"/>
  </r>
  <r>
    <s v="V312"/>
    <n v="27"/>
    <s v="Employed"/>
    <n v="2"/>
    <s v="Healthcare &amp; Life Sciences"/>
    <n v="4"/>
    <b v="0"/>
    <s v="Online marketing"/>
    <x v="18"/>
    <x v="4"/>
    <x v="0"/>
  </r>
  <r>
    <s v="V313"/>
    <n v="73"/>
    <s v="Retired"/>
    <n v="33"/>
    <s v="Healthcare &amp; Life Sciences"/>
    <n v="7"/>
    <b v="0"/>
    <s v="In-person outreach"/>
    <x v="8"/>
    <x v="3"/>
    <x v="1"/>
  </r>
  <r>
    <s v="V314"/>
    <n v="35"/>
    <s v="Employed"/>
    <n v="18"/>
    <s v="Education &amp; Training"/>
    <n v="2"/>
    <b v="0"/>
    <s v="Online marketing"/>
    <x v="2"/>
    <x v="0"/>
    <x v="1"/>
  </r>
  <r>
    <s v="V315"/>
    <n v="19"/>
    <s v="Student"/>
    <n v="0"/>
    <s v="Healthcare &amp; Life Sciences"/>
    <n v="3"/>
    <b v="1"/>
    <s v="University partnership"/>
    <x v="6"/>
    <x v="1"/>
    <x v="0"/>
  </r>
  <r>
    <s v="V316"/>
    <n v="28"/>
    <s v="Employed"/>
    <n v="2"/>
    <s v="Law, Governance &amp; Public Policy"/>
    <n v="1"/>
    <b v="0"/>
    <s v="Online marketing"/>
    <x v="6"/>
    <x v="4"/>
    <x v="1"/>
  </r>
  <r>
    <s v="V317"/>
    <n v="72"/>
    <s v="Retired"/>
    <n v="34"/>
    <s v="Hospitality, Tourism &amp; Services"/>
    <n v="5"/>
    <b v="1"/>
    <s v="In-person outreach"/>
    <x v="1"/>
    <x v="3"/>
    <x v="0"/>
  </r>
  <r>
    <s v="V318"/>
    <n v="21"/>
    <s v="Student"/>
    <n v="1"/>
    <s v="Healthcare &amp; Life Sciences"/>
    <n v="5"/>
    <b v="1"/>
    <s v="University partnership"/>
    <x v="15"/>
    <x v="1"/>
    <x v="0"/>
  </r>
  <r>
    <s v="V319"/>
    <n v="55"/>
    <s v="Employed"/>
    <n v="13"/>
    <s v="Natural Sciences &amp; Environment"/>
    <n v="0"/>
    <b v="0"/>
    <s v="Online marketing"/>
    <x v="5"/>
    <x v="0"/>
    <x v="1"/>
  </r>
  <r>
    <s v="V320"/>
    <n v="54"/>
    <s v="Employed"/>
    <n v="10"/>
    <s v="Healthcare &amp; Life Sciences"/>
    <n v="2"/>
    <b v="0"/>
    <s v="Online marketing"/>
    <x v="9"/>
    <x v="0"/>
    <x v="0"/>
  </r>
  <r>
    <s v="V321"/>
    <n v="18"/>
    <s v="Student"/>
    <n v="0"/>
    <s v="Healthcare &amp; Life Sciences"/>
    <n v="4"/>
    <b v="1"/>
    <s v="University partnership"/>
    <x v="10"/>
    <x v="1"/>
    <x v="1"/>
  </r>
  <r>
    <s v="V322"/>
    <n v="57"/>
    <s v="Not working/Homemaker"/>
    <n v="3"/>
    <s v="Information Technology &amp; Computer Science"/>
    <n v="5"/>
    <b v="0"/>
    <s v="In-person outreach"/>
    <x v="17"/>
    <x v="2"/>
    <x v="1"/>
  </r>
  <r>
    <s v="V323"/>
    <n v="20"/>
    <s v="Student"/>
    <n v="2"/>
    <s v="Healthcare &amp; Life Sciences"/>
    <n v="5"/>
    <b v="1"/>
    <s v="University partnership"/>
    <x v="1"/>
    <x v="1"/>
    <x v="0"/>
  </r>
  <r>
    <s v="V324"/>
    <n v="18"/>
    <s v="Not working/Homemaker"/>
    <n v="0"/>
    <s v="Arts, Media &amp; Communications"/>
    <n v="5"/>
    <b v="0"/>
    <s v="In-person outreach"/>
    <x v="12"/>
    <x v="2"/>
    <x v="1"/>
  </r>
  <r>
    <s v="V325"/>
    <n v="21"/>
    <s v="Student"/>
    <n v="0"/>
    <s v="Healthcare &amp; Life Sciences"/>
    <n v="4"/>
    <b v="1"/>
    <s v="University partnership"/>
    <x v="8"/>
    <x v="1"/>
    <x v="0"/>
  </r>
  <r>
    <s v="V326"/>
    <n v="28"/>
    <s v="Employed"/>
    <n v="5"/>
    <s v="Hospitality, Tourism &amp; Services"/>
    <n v="1"/>
    <b v="0"/>
    <s v="Online marketing"/>
    <x v="13"/>
    <x v="4"/>
    <x v="1"/>
  </r>
  <r>
    <s v="V327"/>
    <n v="20"/>
    <s v="Student"/>
    <n v="0"/>
    <s v="Healthcare &amp; Life Sciences"/>
    <n v="3"/>
    <b v="1"/>
    <s v="University partnership"/>
    <x v="1"/>
    <x v="1"/>
    <x v="0"/>
  </r>
  <r>
    <s v="V328"/>
    <n v="26"/>
    <s v="Employed"/>
    <n v="1"/>
    <s v="Law, Governance &amp; Public Policy"/>
    <n v="2"/>
    <b v="0"/>
    <s v="Online marketing"/>
    <x v="15"/>
    <x v="4"/>
    <x v="1"/>
  </r>
  <r>
    <s v="V329"/>
    <n v="21"/>
    <s v="Student"/>
    <n v="2"/>
    <s v="Business, Finance &amp; Management"/>
    <n v="5"/>
    <b v="0"/>
    <s v="University partnership"/>
    <x v="4"/>
    <x v="1"/>
    <x v="0"/>
  </r>
  <r>
    <s v="V330"/>
    <n v="34"/>
    <s v="Employed"/>
    <n v="7"/>
    <s v="Education &amp; Training"/>
    <n v="1"/>
    <b v="0"/>
    <s v="Online marketing"/>
    <x v="22"/>
    <x v="0"/>
    <x v="0"/>
  </r>
  <r>
    <s v="V331"/>
    <n v="19"/>
    <s v="Student"/>
    <n v="0"/>
    <s v="Engineering &amp; Manufacturing"/>
    <n v="4"/>
    <b v="0"/>
    <s v="University partnership"/>
    <x v="9"/>
    <x v="1"/>
    <x v="0"/>
  </r>
  <r>
    <s v="V332"/>
    <n v="20"/>
    <s v="Student"/>
    <n v="0"/>
    <s v="Healthcare &amp; Life Sciences"/>
    <n v="3"/>
    <b v="1"/>
    <s v="University partnership"/>
    <x v="8"/>
    <x v="1"/>
    <x v="0"/>
  </r>
  <r>
    <s v="V333"/>
    <n v="18"/>
    <s v="Student"/>
    <n v="0"/>
    <s v="Healthcare &amp; Life Sciences"/>
    <n v="4"/>
    <b v="1"/>
    <s v="University partnership"/>
    <x v="6"/>
    <x v="1"/>
    <x v="1"/>
  </r>
  <r>
    <s v="V334"/>
    <n v="20"/>
    <s v="Student"/>
    <n v="0"/>
    <s v="Healthcare &amp; Life Sciences"/>
    <n v="5"/>
    <b v="1"/>
    <s v="University partnership"/>
    <x v="10"/>
    <x v="1"/>
    <x v="1"/>
  </r>
  <r>
    <s v="V335"/>
    <n v="19"/>
    <s v="Student"/>
    <n v="1"/>
    <s v="Hospitality, Tourism &amp; Services"/>
    <n v="3"/>
    <b v="0"/>
    <s v="University partnership"/>
    <x v="9"/>
    <x v="1"/>
    <x v="1"/>
  </r>
  <r>
    <s v="V336"/>
    <n v="20"/>
    <s v="Student"/>
    <n v="2"/>
    <s v="Healthcare &amp; Life Sciences"/>
    <n v="4"/>
    <b v="1"/>
    <s v="University partnership"/>
    <x v="15"/>
    <x v="1"/>
    <x v="0"/>
  </r>
  <r>
    <s v="V337"/>
    <n v="33"/>
    <s v="Employed"/>
    <n v="14"/>
    <s v="Education &amp; Training"/>
    <n v="0"/>
    <b v="0"/>
    <s v="Online marketing"/>
    <x v="0"/>
    <x v="0"/>
    <x v="1"/>
  </r>
  <r>
    <s v="V338"/>
    <n v="50"/>
    <s v="Employed"/>
    <n v="13"/>
    <s v="Hospitality, Tourism &amp; Services"/>
    <n v="2"/>
    <b v="0"/>
    <s v="Online marketing"/>
    <x v="5"/>
    <x v="0"/>
    <x v="0"/>
  </r>
  <r>
    <s v="V339"/>
    <n v="27"/>
    <s v="Employed"/>
    <n v="0"/>
    <s v="Healthcare &amp; Life Sciences"/>
    <n v="4"/>
    <b v="0"/>
    <s v="Online marketing"/>
    <x v="8"/>
    <x v="4"/>
    <x v="0"/>
  </r>
  <r>
    <s v="V340"/>
    <n v="21"/>
    <s v="Student"/>
    <n v="1"/>
    <s v="Healthcare &amp; Life Sciences"/>
    <n v="5"/>
    <b v="1"/>
    <s v="University partnership"/>
    <x v="15"/>
    <x v="1"/>
    <x v="1"/>
  </r>
  <r>
    <s v="V341"/>
    <n v="18"/>
    <s v="Student"/>
    <n v="2"/>
    <s v="Healthcare &amp; Life Sciences"/>
    <n v="4"/>
    <b v="1"/>
    <s v="University partnership"/>
    <x v="18"/>
    <x v="1"/>
    <x v="1"/>
  </r>
  <r>
    <s v="V342"/>
    <n v="29"/>
    <s v="Employed"/>
    <n v="2"/>
    <s v="Trades &amp; Technical Services"/>
    <n v="0"/>
    <b v="0"/>
    <s v="Online marketing"/>
    <x v="6"/>
    <x v="4"/>
    <x v="1"/>
  </r>
  <r>
    <s v="V343"/>
    <n v="34"/>
    <s v="Not working/Homemaker"/>
    <n v="6"/>
    <s v="Business, Finance &amp; Management"/>
    <n v="3"/>
    <b v="0"/>
    <s v="In-person outreach"/>
    <x v="14"/>
    <x v="2"/>
    <x v="0"/>
  </r>
  <r>
    <s v="V344"/>
    <n v="41"/>
    <s v="Employed"/>
    <n v="25"/>
    <s v="Education &amp; Training"/>
    <n v="2"/>
    <b v="0"/>
    <s v="Online marketing"/>
    <x v="23"/>
    <x v="0"/>
    <x v="0"/>
  </r>
  <r>
    <s v="V345"/>
    <n v="21"/>
    <s v="Student"/>
    <n v="1"/>
    <s v="Engineering &amp; Manufacturing"/>
    <n v="5"/>
    <b v="0"/>
    <s v="University partnership"/>
    <x v="21"/>
    <x v="1"/>
    <x v="0"/>
  </r>
  <r>
    <s v="V346"/>
    <n v="21"/>
    <s v="Student"/>
    <n v="0"/>
    <s v="Healthcare &amp; Life Sciences"/>
    <n v="4"/>
    <b v="1"/>
    <s v="University partnership"/>
    <x v="15"/>
    <x v="1"/>
    <x v="0"/>
  </r>
  <r>
    <s v="V347"/>
    <n v="65"/>
    <s v="Not working/Homemaker"/>
    <n v="2"/>
    <s v="Hospitality, Tourism &amp; Services"/>
    <n v="4"/>
    <b v="0"/>
    <s v="In-person outreach"/>
    <x v="12"/>
    <x v="2"/>
    <x v="1"/>
  </r>
  <r>
    <s v="V348"/>
    <n v="70"/>
    <s v="Retired"/>
    <n v="32"/>
    <s v="Natural Sciences &amp; Environment"/>
    <n v="3"/>
    <b v="1"/>
    <s v="In-person outreach"/>
    <x v="15"/>
    <x v="3"/>
    <x v="0"/>
  </r>
  <r>
    <s v="V349"/>
    <n v="28"/>
    <s v="Employed"/>
    <n v="5"/>
    <s v="Healthcare &amp; Life Sciences"/>
    <n v="3"/>
    <b v="0"/>
    <s v="Online marketing"/>
    <x v="6"/>
    <x v="4"/>
    <x v="0"/>
  </r>
  <r>
    <s v="V350"/>
    <n v="29"/>
    <s v="Employed"/>
    <n v="2"/>
    <s v="Business, Finance &amp; Management"/>
    <n v="2"/>
    <b v="0"/>
    <s v="Online marketing"/>
    <x v="8"/>
    <x v="4"/>
    <x v="1"/>
  </r>
  <r>
    <s v="V351"/>
    <n v="23"/>
    <s v="Employed"/>
    <n v="1"/>
    <s v="Information Technology &amp; Computer Science"/>
    <n v="2"/>
    <b v="0"/>
    <s v="Online marketing"/>
    <x v="1"/>
    <x v="4"/>
    <x v="0"/>
  </r>
  <r>
    <s v="V352"/>
    <n v="56"/>
    <s v="Retired"/>
    <n v="26"/>
    <s v="Hospitality, Tourism &amp; Services"/>
    <n v="4"/>
    <b v="0"/>
    <s v="In-person outreach"/>
    <x v="18"/>
    <x v="3"/>
    <x v="0"/>
  </r>
  <r>
    <s v="V353"/>
    <n v="18"/>
    <s v="Student"/>
    <n v="0"/>
    <s v="Healthcare &amp; Life Sciences"/>
    <n v="3"/>
    <b v="1"/>
    <s v="University partnership"/>
    <x v="18"/>
    <x v="1"/>
    <x v="0"/>
  </r>
  <r>
    <s v="V354"/>
    <n v="30"/>
    <s v="Employed"/>
    <n v="3"/>
    <s v="Hospitality, Tourism &amp; Services"/>
    <n v="1"/>
    <b v="0"/>
    <s v="Online marketing"/>
    <x v="13"/>
    <x v="4"/>
    <x v="1"/>
  </r>
  <r>
    <s v="V355"/>
    <n v="44"/>
    <s v="Not working/Homemaker"/>
    <n v="14"/>
    <s v="Law, Governance &amp; Public Policy"/>
    <n v="5"/>
    <b v="0"/>
    <s v="In-person outreach"/>
    <x v="14"/>
    <x v="2"/>
    <x v="0"/>
  </r>
  <r>
    <s v="V356"/>
    <n v="20"/>
    <s v="Student"/>
    <n v="0"/>
    <s v="Healthcare &amp; Life Sciences"/>
    <n v="3"/>
    <b v="1"/>
    <s v="University partnership"/>
    <x v="1"/>
    <x v="1"/>
    <x v="0"/>
  </r>
  <r>
    <s v="V357"/>
    <n v="25"/>
    <s v="Employed"/>
    <n v="0"/>
    <s v="Education &amp; Training"/>
    <n v="1"/>
    <b v="0"/>
    <s v="Online marketing"/>
    <x v="13"/>
    <x v="4"/>
    <x v="1"/>
  </r>
  <r>
    <s v="V358"/>
    <n v="53"/>
    <s v="Not working/Homemaker"/>
    <n v="3"/>
    <s v="Trades &amp; Technical Services"/>
    <n v="5"/>
    <b v="0"/>
    <s v="In-person outreach"/>
    <x v="17"/>
    <x v="2"/>
    <x v="0"/>
  </r>
  <r>
    <s v="V359"/>
    <n v="23"/>
    <s v="Employed"/>
    <n v="3"/>
    <s v="Healthcare &amp; Life Sciences"/>
    <n v="3"/>
    <b v="0"/>
    <s v="Online marketing"/>
    <x v="15"/>
    <x v="4"/>
    <x v="0"/>
  </r>
  <r>
    <s v="V360"/>
    <n v="18"/>
    <s v="Student"/>
    <n v="2"/>
    <s v="Arts, Media &amp; Communications"/>
    <n v="4"/>
    <b v="0"/>
    <s v="University partnership"/>
    <x v="3"/>
    <x v="1"/>
    <x v="1"/>
  </r>
  <r>
    <s v="V361"/>
    <n v="20"/>
    <s v="Student"/>
    <n v="0"/>
    <s v="Healthcare &amp; Life Sciences"/>
    <n v="4"/>
    <b v="1"/>
    <s v="University partnership"/>
    <x v="4"/>
    <x v="1"/>
    <x v="0"/>
  </r>
  <r>
    <s v="V362"/>
    <n v="30"/>
    <s v="Employed"/>
    <n v="0"/>
    <s v="Trades &amp; Technical Services"/>
    <n v="2"/>
    <b v="0"/>
    <s v="Online marketing"/>
    <x v="6"/>
    <x v="4"/>
    <x v="1"/>
  </r>
  <r>
    <s v="V363"/>
    <n v="28"/>
    <s v="Employed"/>
    <n v="1"/>
    <s v="Healthcare &amp; Life Sciences"/>
    <n v="2"/>
    <b v="0"/>
    <s v="Online marketing"/>
    <x v="10"/>
    <x v="4"/>
    <x v="0"/>
  </r>
  <r>
    <s v="V364"/>
    <n v="19"/>
    <s v="Student"/>
    <n v="0"/>
    <s v="Healthcare &amp; Life Sciences"/>
    <n v="4"/>
    <b v="1"/>
    <s v="University partnership"/>
    <x v="15"/>
    <x v="1"/>
    <x v="1"/>
  </r>
  <r>
    <s v="V365"/>
    <n v="21"/>
    <s v="Student"/>
    <n v="0"/>
    <s v="Healthcare &amp; Life Sciences"/>
    <n v="3"/>
    <b v="1"/>
    <s v="University partnership"/>
    <x v="15"/>
    <x v="1"/>
    <x v="1"/>
  </r>
  <r>
    <s v="V366"/>
    <n v="21"/>
    <s v="Student"/>
    <n v="2"/>
    <s v="Healthcare &amp; Life Sciences"/>
    <n v="5"/>
    <b v="1"/>
    <s v="University partnership"/>
    <x v="1"/>
    <x v="1"/>
    <x v="1"/>
  </r>
  <r>
    <s v="V367"/>
    <n v="26"/>
    <s v="Employed"/>
    <n v="5"/>
    <s v="Education &amp; Training"/>
    <n v="0"/>
    <b v="0"/>
    <s v="Online marketing"/>
    <x v="18"/>
    <x v="4"/>
    <x v="1"/>
  </r>
  <r>
    <s v="V368"/>
    <n v="46"/>
    <s v="Employed"/>
    <n v="14"/>
    <s v="Healthcare &amp; Life Sciences"/>
    <n v="1"/>
    <b v="0"/>
    <s v="Online marketing"/>
    <x v="19"/>
    <x v="0"/>
    <x v="0"/>
  </r>
  <r>
    <s v="V369"/>
    <n v="25"/>
    <s v="Employed"/>
    <n v="1"/>
    <s v="Healthcare &amp; Life Sciences"/>
    <n v="4"/>
    <b v="0"/>
    <s v="Online marketing"/>
    <x v="18"/>
    <x v="4"/>
    <x v="1"/>
  </r>
  <r>
    <s v="V370"/>
    <n v="27"/>
    <s v="Not working/Homemaker"/>
    <n v="11"/>
    <s v="Engineering &amp; Manufacturing"/>
    <n v="3"/>
    <b v="0"/>
    <s v="In-person outreach"/>
    <x v="6"/>
    <x v="2"/>
    <x v="1"/>
  </r>
  <r>
    <s v="V371"/>
    <n v="20"/>
    <s v="Student"/>
    <n v="0"/>
    <s v="Healthcare &amp; Life Sciences"/>
    <n v="4"/>
    <b v="1"/>
    <s v="University partnership"/>
    <x v="10"/>
    <x v="1"/>
    <x v="0"/>
  </r>
  <r>
    <s v="V372"/>
    <n v="69"/>
    <s v="Retired"/>
    <n v="35"/>
    <s v="Arts, Media &amp; Communications"/>
    <n v="5"/>
    <b v="0"/>
    <s v="In-person outreach"/>
    <x v="4"/>
    <x v="3"/>
    <x v="1"/>
  </r>
  <r>
    <s v="V373"/>
    <n v="23"/>
    <s v="Employed"/>
    <n v="2"/>
    <s v="Education &amp; Training"/>
    <n v="1"/>
    <b v="0"/>
    <s v="Online marketing"/>
    <x v="18"/>
    <x v="4"/>
    <x v="0"/>
  </r>
  <r>
    <s v="V374"/>
    <n v="26"/>
    <s v="Employed"/>
    <n v="5"/>
    <s v="Information Technology &amp; Computer Science"/>
    <n v="2"/>
    <b v="0"/>
    <s v="Online marketing"/>
    <x v="18"/>
    <x v="4"/>
    <x v="0"/>
  </r>
  <r>
    <s v="V375"/>
    <n v="26"/>
    <s v="Employed"/>
    <n v="5"/>
    <s v="Natural Sciences &amp; Environment"/>
    <n v="0"/>
    <b v="0"/>
    <s v="Online marketing"/>
    <x v="15"/>
    <x v="4"/>
    <x v="0"/>
  </r>
  <r>
    <s v="V376"/>
    <n v="21"/>
    <s v="Student"/>
    <n v="0"/>
    <s v="Trades &amp; Technical Services"/>
    <n v="4"/>
    <b v="1"/>
    <s v="University partnership"/>
    <x v="10"/>
    <x v="1"/>
    <x v="0"/>
  </r>
  <r>
    <s v="V377"/>
    <n v="41"/>
    <s v="Not working/Homemaker"/>
    <n v="4"/>
    <s v="Hospitality, Tourism &amp; Services"/>
    <n v="4"/>
    <b v="0"/>
    <s v="In-person outreach"/>
    <x v="13"/>
    <x v="2"/>
    <x v="0"/>
  </r>
  <r>
    <s v="V378"/>
    <n v="18"/>
    <s v="Student"/>
    <n v="2"/>
    <s v="Healthcare &amp; Life Sciences"/>
    <n v="3"/>
    <b v="1"/>
    <s v="University partnership"/>
    <x v="1"/>
    <x v="1"/>
    <x v="0"/>
  </r>
  <r>
    <s v="V379"/>
    <n v="20"/>
    <s v="Student"/>
    <n v="0"/>
    <s v="Healthcare &amp; Life Sciences"/>
    <n v="5"/>
    <b v="1"/>
    <s v="University partnership"/>
    <x v="15"/>
    <x v="1"/>
    <x v="1"/>
  </r>
  <r>
    <s v="V380"/>
    <n v="21"/>
    <s v="Student"/>
    <n v="2"/>
    <s v="Healthcare &amp; Life Sciences"/>
    <n v="5"/>
    <b v="1"/>
    <s v="University partnership"/>
    <x v="10"/>
    <x v="1"/>
    <x v="1"/>
  </r>
  <r>
    <s v="V381"/>
    <n v="21"/>
    <s v="Student"/>
    <n v="1"/>
    <s v="Healthcare &amp; Life Sciences"/>
    <n v="4"/>
    <b v="1"/>
    <s v="University partnership"/>
    <x v="18"/>
    <x v="1"/>
    <x v="1"/>
  </r>
  <r>
    <s v="V382"/>
    <n v="33"/>
    <s v="Not working/Homemaker"/>
    <n v="13"/>
    <s v="Natural Sciences &amp; Environment"/>
    <n v="3"/>
    <b v="0"/>
    <s v="In-person outreach"/>
    <x v="12"/>
    <x v="2"/>
    <x v="1"/>
  </r>
  <r>
    <s v="V383"/>
    <n v="21"/>
    <s v="Student"/>
    <n v="1"/>
    <s v="Healthcare &amp; Life Sciences"/>
    <n v="5"/>
    <b v="1"/>
    <s v="University partnership"/>
    <x v="10"/>
    <x v="1"/>
    <x v="0"/>
  </r>
  <r>
    <s v="V384"/>
    <n v="51"/>
    <s v="Employed"/>
    <n v="10"/>
    <s v="Healthcare &amp; Life Sciences"/>
    <n v="3"/>
    <b v="0"/>
    <s v="Online marketing"/>
    <x v="9"/>
    <x v="0"/>
    <x v="1"/>
  </r>
  <r>
    <s v="V385"/>
    <n v="18"/>
    <s v="Not working/Homemaker"/>
    <n v="1"/>
    <s v="Natural Sciences &amp; Environment"/>
    <n v="4"/>
    <b v="1"/>
    <s v="In-person outreach"/>
    <x v="17"/>
    <x v="2"/>
    <x v="1"/>
  </r>
  <r>
    <s v="V386"/>
    <n v="19"/>
    <s v="Student"/>
    <n v="2"/>
    <s v="Healthcare &amp; Life Sciences"/>
    <n v="5"/>
    <b v="1"/>
    <s v="University partnership"/>
    <x v="1"/>
    <x v="1"/>
    <x v="0"/>
  </r>
  <r>
    <s v="V387"/>
    <n v="24"/>
    <s v="Employed"/>
    <n v="2"/>
    <s v="Trades &amp; Technical Services"/>
    <n v="1"/>
    <b v="1"/>
    <s v="Online marketing"/>
    <x v="12"/>
    <x v="4"/>
    <x v="1"/>
  </r>
  <r>
    <s v="V388"/>
    <n v="20"/>
    <s v="Student"/>
    <n v="2"/>
    <s v="Healthcare &amp; Life Sciences"/>
    <n v="3"/>
    <b v="1"/>
    <s v="University partnership"/>
    <x v="4"/>
    <x v="1"/>
    <x v="0"/>
  </r>
  <r>
    <s v="V389"/>
    <n v="21"/>
    <s v="Student"/>
    <n v="2"/>
    <s v="Information Technology &amp; Computer Science"/>
    <n v="4"/>
    <b v="1"/>
    <s v="University partnership"/>
    <x v="21"/>
    <x v="1"/>
    <x v="1"/>
  </r>
  <r>
    <s v="V390"/>
    <n v="20"/>
    <s v="Student"/>
    <n v="0"/>
    <s v="Healthcare &amp; Life Sciences"/>
    <n v="4"/>
    <b v="1"/>
    <s v="University partnership"/>
    <x v="10"/>
    <x v="1"/>
    <x v="0"/>
  </r>
  <r>
    <s v="V391"/>
    <n v="51"/>
    <s v="Employed"/>
    <n v="8"/>
    <s v="Hospitality, Tourism &amp; Services"/>
    <n v="0"/>
    <b v="0"/>
    <s v="Online marketing"/>
    <x v="11"/>
    <x v="0"/>
    <x v="1"/>
  </r>
  <r>
    <s v="V392"/>
    <n v="45"/>
    <s v="Not working/Homemaker"/>
    <n v="0"/>
    <s v="Hospitality, Tourism &amp; Services"/>
    <n v="4"/>
    <b v="0"/>
    <s v="In-person outreach"/>
    <x v="18"/>
    <x v="2"/>
    <x v="0"/>
  </r>
  <r>
    <s v="V393"/>
    <n v="59"/>
    <s v="Retired"/>
    <n v="25"/>
    <s v="Healthcare &amp; Life Sciences"/>
    <n v="5"/>
    <b v="0"/>
    <s v="In-person outreach"/>
    <x v="18"/>
    <x v="3"/>
    <x v="0"/>
  </r>
  <r>
    <s v="V394"/>
    <n v="30"/>
    <s v="Employed"/>
    <n v="3"/>
    <s v="Healthcare &amp; Life Sciences"/>
    <n v="3"/>
    <b v="0"/>
    <s v="Online marketing"/>
    <x v="1"/>
    <x v="4"/>
    <x v="1"/>
  </r>
  <r>
    <s v="V395"/>
    <n v="25"/>
    <s v="Employed"/>
    <n v="5"/>
    <s v="Engineering &amp; Manufacturing"/>
    <n v="0"/>
    <b v="0"/>
    <s v="Online marketing"/>
    <x v="6"/>
    <x v="4"/>
    <x v="1"/>
  </r>
  <r>
    <s v="V396"/>
    <n v="24"/>
    <s v="Not working/Homemaker"/>
    <n v="8"/>
    <s v="Education &amp; Training"/>
    <n v="5"/>
    <b v="1"/>
    <s v="In-person outreach"/>
    <x v="12"/>
    <x v="2"/>
    <x v="0"/>
  </r>
  <r>
    <s v="V397"/>
    <n v="53"/>
    <s v="Not working/Homemaker"/>
    <n v="21"/>
    <s v="Information Technology &amp; Computer Science"/>
    <n v="4"/>
    <b v="0"/>
    <s v="In-person outreach"/>
    <x v="12"/>
    <x v="2"/>
    <x v="0"/>
  </r>
  <r>
    <s v="V398"/>
    <n v="32"/>
    <s v="Employed"/>
    <n v="10"/>
    <s v="Healthcare &amp; Life Sciences"/>
    <n v="2"/>
    <b v="0"/>
    <s v="Online marketing"/>
    <x v="20"/>
    <x v="0"/>
    <x v="0"/>
  </r>
  <r>
    <s v="V399"/>
    <n v="26"/>
    <s v="Employed"/>
    <n v="2"/>
    <s v="Arts, Media &amp; Communications"/>
    <n v="2"/>
    <b v="0"/>
    <s v="Online marketing"/>
    <x v="6"/>
    <x v="4"/>
    <x v="1"/>
  </r>
  <r>
    <s v="V400"/>
    <n v="23"/>
    <s v="Employed"/>
    <n v="4"/>
    <s v="Healthcare &amp; Life Sciences"/>
    <n v="2"/>
    <b v="0"/>
    <s v="Online marketing"/>
    <x v="8"/>
    <x v="4"/>
    <x v="0"/>
  </r>
  <r>
    <s v="V401"/>
    <n v="22"/>
    <s v="Employed"/>
    <n v="3"/>
    <s v="Healthcare &amp; Life Sciences"/>
    <n v="4"/>
    <b v="0"/>
    <s v="Online marketing"/>
    <x v="1"/>
    <x v="4"/>
    <x v="1"/>
  </r>
  <r>
    <s v="V402"/>
    <n v="29"/>
    <s v="Employed"/>
    <n v="5"/>
    <s v="Hospitality, Tourism &amp; Services"/>
    <n v="1"/>
    <b v="0"/>
    <s v="Online marketing"/>
    <x v="12"/>
    <x v="4"/>
    <x v="1"/>
  </r>
  <r>
    <s v="V403"/>
    <n v="25"/>
    <s v="Not working/Homemaker"/>
    <n v="4"/>
    <s v="Hospitality, Tourism &amp; Services"/>
    <n v="4"/>
    <b v="0"/>
    <s v="In-person outreach"/>
    <x v="17"/>
    <x v="2"/>
    <x v="0"/>
  </r>
  <r>
    <s v="V404"/>
    <n v="23"/>
    <s v="Employed"/>
    <n v="0"/>
    <s v="Natural Sciences &amp; Environment"/>
    <n v="1"/>
    <b v="0"/>
    <s v="Online marketing"/>
    <x v="12"/>
    <x v="4"/>
    <x v="0"/>
  </r>
  <r>
    <s v="V405"/>
    <n v="58"/>
    <s v="Not working/Homemaker"/>
    <n v="20"/>
    <s v="Business, Finance &amp; Management"/>
    <n v="4"/>
    <b v="0"/>
    <s v="In-person outreach"/>
    <x v="14"/>
    <x v="2"/>
    <x v="0"/>
  </r>
  <r>
    <s v="V406"/>
    <n v="29"/>
    <s v="Not working/Homemaker"/>
    <n v="12"/>
    <s v="Hospitality, Tourism &amp; Services"/>
    <n v="5"/>
    <b v="1"/>
    <s v="In-person outreach"/>
    <x v="18"/>
    <x v="2"/>
    <x v="0"/>
  </r>
  <r>
    <s v="V407"/>
    <n v="29"/>
    <s v="Employed"/>
    <n v="0"/>
    <s v="Business, Finance &amp; Management"/>
    <n v="2"/>
    <b v="0"/>
    <s v="Online marketing"/>
    <x v="6"/>
    <x v="4"/>
    <x v="0"/>
  </r>
  <r>
    <s v="V408"/>
    <n v="40"/>
    <s v="Employed"/>
    <n v="12"/>
    <s v="Natural Sciences &amp; Environment"/>
    <n v="1"/>
    <b v="0"/>
    <s v="Online marketing"/>
    <x v="11"/>
    <x v="0"/>
    <x v="0"/>
  </r>
  <r>
    <s v="V409"/>
    <n v="25"/>
    <s v="Employed"/>
    <n v="5"/>
    <s v="Business, Finance &amp; Management"/>
    <n v="1"/>
    <b v="0"/>
    <s v="Online marketing"/>
    <x v="12"/>
    <x v="4"/>
    <x v="0"/>
  </r>
  <r>
    <s v="V410"/>
    <n v="23"/>
    <s v="Employed"/>
    <n v="4"/>
    <s v="Healthcare &amp; Life Sciences"/>
    <n v="4"/>
    <b v="0"/>
    <s v="Online marketing"/>
    <x v="6"/>
    <x v="4"/>
    <x v="0"/>
  </r>
  <r>
    <s v="V411"/>
    <n v="19"/>
    <s v="Student"/>
    <n v="2"/>
    <s v="Trades &amp; Technical Services"/>
    <n v="3"/>
    <b v="1"/>
    <s v="University partnership"/>
    <x v="3"/>
    <x v="1"/>
    <x v="1"/>
  </r>
  <r>
    <s v="V412"/>
    <n v="19"/>
    <s v="Student"/>
    <n v="2"/>
    <s v="Healthcare &amp; Life Sciences"/>
    <n v="5"/>
    <b v="1"/>
    <s v="University partnership"/>
    <x v="8"/>
    <x v="1"/>
    <x v="0"/>
  </r>
  <r>
    <s v="V413"/>
    <n v="28"/>
    <s v="Employed"/>
    <n v="5"/>
    <s v="Healthcare &amp; Life Sciences"/>
    <n v="4"/>
    <b v="0"/>
    <s v="Online marketing"/>
    <x v="1"/>
    <x v="4"/>
    <x v="1"/>
  </r>
  <r>
    <s v="V414"/>
    <n v="64"/>
    <s v="Retired"/>
    <n v="29"/>
    <s v="Healthcare &amp; Life Sciences"/>
    <n v="6"/>
    <b v="0"/>
    <s v="In-person outreach"/>
    <x v="8"/>
    <x v="3"/>
    <x v="1"/>
  </r>
  <r>
    <s v="V415"/>
    <n v="19"/>
    <s v="Student"/>
    <n v="1"/>
    <s v="Business, Finance &amp; Management"/>
    <n v="4"/>
    <b v="1"/>
    <s v="University partnership"/>
    <x v="20"/>
    <x v="1"/>
    <x v="1"/>
  </r>
  <r>
    <s v="V416"/>
    <n v="30"/>
    <s v="Employed"/>
    <n v="5"/>
    <s v="Business, Finance &amp; Management"/>
    <n v="1"/>
    <b v="0"/>
    <s v="Online marketing"/>
    <x v="8"/>
    <x v="4"/>
    <x v="0"/>
  </r>
  <r>
    <s v="V417"/>
    <n v="23"/>
    <s v="Employed"/>
    <n v="1"/>
    <s v="Education &amp; Training"/>
    <n v="0"/>
    <b v="0"/>
    <s v="Online marketing"/>
    <x v="1"/>
    <x v="4"/>
    <x v="0"/>
  </r>
  <r>
    <s v="V418"/>
    <n v="20"/>
    <s v="Student"/>
    <n v="1"/>
    <s v="Healthcare &amp; Life Sciences"/>
    <n v="3"/>
    <b v="1"/>
    <s v="University partnership"/>
    <x v="6"/>
    <x v="1"/>
    <x v="0"/>
  </r>
  <r>
    <s v="V419"/>
    <n v="19"/>
    <s v="Student"/>
    <n v="1"/>
    <s v="Healthcare &amp; Life Sciences"/>
    <n v="5"/>
    <b v="1"/>
    <s v="University partnership"/>
    <x v="1"/>
    <x v="1"/>
    <x v="1"/>
  </r>
  <r>
    <s v="V420"/>
    <n v="32"/>
    <s v="Employed"/>
    <n v="11"/>
    <s v="Education &amp; Training"/>
    <n v="1"/>
    <b v="0"/>
    <s v="Online marketing"/>
    <x v="23"/>
    <x v="0"/>
    <x v="1"/>
  </r>
  <r>
    <s v="V421"/>
    <n v="19"/>
    <s v="Student"/>
    <n v="0"/>
    <s v="Healthcare &amp; Life Sciences"/>
    <n v="4"/>
    <b v="1"/>
    <s v="University partnership"/>
    <x v="8"/>
    <x v="1"/>
    <x v="0"/>
  </r>
  <r>
    <s v="V422"/>
    <n v="19"/>
    <s v="Not working/Homemaker"/>
    <n v="2"/>
    <s v="Engineering &amp; Manufacturing"/>
    <n v="3"/>
    <b v="0"/>
    <s v="In-person outreach"/>
    <x v="14"/>
    <x v="2"/>
    <x v="1"/>
  </r>
  <r>
    <s v="V423"/>
    <n v="40"/>
    <s v="Not working/Homemaker"/>
    <n v="23"/>
    <s v="Business, Finance &amp; Management"/>
    <n v="4"/>
    <b v="0"/>
    <s v="In-person outreach"/>
    <x v="13"/>
    <x v="2"/>
    <x v="0"/>
  </r>
  <r>
    <s v="V424"/>
    <n v="18"/>
    <s v="Student"/>
    <n v="0"/>
    <s v="Healthcare &amp; Life Sciences"/>
    <n v="5"/>
    <b v="1"/>
    <s v="University partnership"/>
    <x v="6"/>
    <x v="1"/>
    <x v="0"/>
  </r>
  <r>
    <s v="V425"/>
    <n v="72"/>
    <s v="Retired"/>
    <n v="38"/>
    <s v="Information Technology &amp; Computer Science"/>
    <n v="5"/>
    <b v="1"/>
    <s v="In-person outreach"/>
    <x v="3"/>
    <x v="3"/>
    <x v="1"/>
  </r>
  <r>
    <s v="V426"/>
    <n v="19"/>
    <s v="Student"/>
    <n v="1"/>
    <s v="Healthcare &amp; Life Sciences"/>
    <n v="4"/>
    <b v="1"/>
    <s v="University partnership"/>
    <x v="10"/>
    <x v="1"/>
    <x v="0"/>
  </r>
  <r>
    <s v="V427"/>
    <n v="22"/>
    <s v="Employed"/>
    <n v="2"/>
    <s v="Healthcare &amp; Life Sciences"/>
    <n v="2"/>
    <b v="0"/>
    <s v="Online marketing"/>
    <x v="8"/>
    <x v="4"/>
    <x v="1"/>
  </r>
  <r>
    <s v="V428"/>
    <n v="21"/>
    <s v="Student"/>
    <n v="0"/>
    <s v="Healthcare &amp; Life Sciences"/>
    <n v="3"/>
    <b v="1"/>
    <s v="University partnership"/>
    <x v="4"/>
    <x v="1"/>
    <x v="1"/>
  </r>
  <r>
    <s v="V429"/>
    <n v="22"/>
    <s v="Employed"/>
    <n v="3"/>
    <s v="Hospitality, Tourism &amp; Services"/>
    <n v="0"/>
    <b v="0"/>
    <s v="Online marketing"/>
    <x v="15"/>
    <x v="4"/>
    <x v="1"/>
  </r>
  <r>
    <s v="V430"/>
    <n v="23"/>
    <s v="Not working/Homemaker"/>
    <n v="6"/>
    <s v="Information Technology &amp; Computer Science"/>
    <n v="3"/>
    <b v="1"/>
    <s v="In-person outreach"/>
    <x v="14"/>
    <x v="2"/>
    <x v="0"/>
  </r>
  <r>
    <s v="V431"/>
    <n v="47"/>
    <s v="Employed"/>
    <n v="14"/>
    <s v="Business, Finance &amp; Management"/>
    <n v="2"/>
    <b v="1"/>
    <s v="Online marketing"/>
    <x v="0"/>
    <x v="0"/>
    <x v="0"/>
  </r>
  <r>
    <s v="V432"/>
    <n v="18"/>
    <s v="Student"/>
    <n v="1"/>
    <s v="Healthcare &amp; Life Sciences"/>
    <n v="3"/>
    <b v="1"/>
    <s v="University partnership"/>
    <x v="1"/>
    <x v="1"/>
    <x v="0"/>
  </r>
  <r>
    <s v="V433"/>
    <n v="38"/>
    <s v="Employed"/>
    <n v="22"/>
    <s v="Healthcare &amp; Life Sciences"/>
    <n v="1"/>
    <b v="0"/>
    <s v="Online marketing"/>
    <x v="19"/>
    <x v="0"/>
    <x v="1"/>
  </r>
  <r>
    <s v="V434"/>
    <n v="19"/>
    <s v="Not working/Homemaker"/>
    <n v="2"/>
    <s v="Business, Finance &amp; Management"/>
    <n v="5"/>
    <b v="0"/>
    <s v="In-person outreach"/>
    <x v="6"/>
    <x v="2"/>
    <x v="1"/>
  </r>
  <r>
    <s v="V435"/>
    <n v="19"/>
    <s v="Student"/>
    <n v="2"/>
    <s v="Healthcare &amp; Life Sciences"/>
    <n v="4"/>
    <b v="1"/>
    <s v="University partnership"/>
    <x v="15"/>
    <x v="1"/>
    <x v="0"/>
  </r>
  <r>
    <s v="V436"/>
    <n v="39"/>
    <s v="Employed"/>
    <n v="6"/>
    <s v="Hospitality, Tourism &amp; Services"/>
    <n v="1"/>
    <b v="0"/>
    <s v="Online marketing"/>
    <x v="2"/>
    <x v="0"/>
    <x v="1"/>
  </r>
  <r>
    <s v="V437"/>
    <n v="29"/>
    <s v="Employed"/>
    <n v="2"/>
    <s v="Engineering &amp; Manufacturing"/>
    <n v="2"/>
    <b v="0"/>
    <s v="Online marketing"/>
    <x v="18"/>
    <x v="4"/>
    <x v="0"/>
  </r>
  <r>
    <s v="V438"/>
    <n v="26"/>
    <s v="Employed"/>
    <n v="0"/>
    <s v="Education &amp; Training"/>
    <n v="2"/>
    <b v="0"/>
    <s v="Online marketing"/>
    <x v="18"/>
    <x v="4"/>
    <x v="0"/>
  </r>
  <r>
    <s v="V439"/>
    <n v="18"/>
    <s v="Student"/>
    <n v="1"/>
    <s v="Healthcare &amp; Life Sciences"/>
    <n v="3"/>
    <b v="1"/>
    <s v="University partnership"/>
    <x v="8"/>
    <x v="1"/>
    <x v="0"/>
  </r>
  <r>
    <s v="V440"/>
    <n v="27"/>
    <s v="Employed"/>
    <n v="4"/>
    <s v="Trades &amp; Technical Services"/>
    <n v="1"/>
    <b v="0"/>
    <s v="Online marketing"/>
    <x v="15"/>
    <x v="4"/>
    <x v="1"/>
  </r>
  <r>
    <s v="V441"/>
    <n v="19"/>
    <s v="Student"/>
    <n v="0"/>
    <s v="Healthcare &amp; Life Sciences"/>
    <n v="3"/>
    <b v="1"/>
    <s v="University partnership"/>
    <x v="4"/>
    <x v="1"/>
    <x v="0"/>
  </r>
  <r>
    <s v="V442"/>
    <n v="44"/>
    <s v="Employed"/>
    <n v="9"/>
    <s v="Hospitality, Tourism &amp; Services"/>
    <n v="0"/>
    <b v="1"/>
    <s v="Online marketing"/>
    <x v="2"/>
    <x v="0"/>
    <x v="1"/>
  </r>
  <r>
    <s v="V443"/>
    <n v="29"/>
    <s v="Employed"/>
    <n v="5"/>
    <s v="Arts, Media &amp; Communications"/>
    <n v="0"/>
    <b v="0"/>
    <s v="Online marketing"/>
    <x v="12"/>
    <x v="4"/>
    <x v="0"/>
  </r>
  <r>
    <s v="V444"/>
    <n v="21"/>
    <s v="Student"/>
    <n v="2"/>
    <s v="Hospitality, Tourism &amp; Services"/>
    <n v="3"/>
    <b v="1"/>
    <s v="University partnership"/>
    <x v="19"/>
    <x v="1"/>
    <x v="0"/>
  </r>
  <r>
    <s v="V445"/>
    <n v="50"/>
    <s v="Employed"/>
    <n v="18"/>
    <s v="Healthcare &amp; Life Sciences"/>
    <n v="3"/>
    <b v="0"/>
    <s v="Online marketing"/>
    <x v="3"/>
    <x v="0"/>
    <x v="0"/>
  </r>
  <r>
    <s v="V446"/>
    <n v="40"/>
    <s v="Not working/Homemaker"/>
    <n v="16"/>
    <s v="Information Technology &amp; Computer Science"/>
    <n v="5"/>
    <b v="0"/>
    <s v="In-person outreach"/>
    <x v="18"/>
    <x v="2"/>
    <x v="1"/>
  </r>
  <r>
    <s v="V447"/>
    <n v="20"/>
    <s v="Student"/>
    <n v="2"/>
    <s v="Healthcare &amp; Life Sciences"/>
    <n v="4"/>
    <b v="1"/>
    <s v="University partnership"/>
    <x v="6"/>
    <x v="1"/>
    <x v="0"/>
  </r>
  <r>
    <s v="V448"/>
    <n v="28"/>
    <s v="Employed"/>
    <n v="3"/>
    <s v="Hospitality, Tourism &amp; Services"/>
    <n v="0"/>
    <b v="0"/>
    <s v="Online marketing"/>
    <x v="15"/>
    <x v="4"/>
    <x v="1"/>
  </r>
  <r>
    <s v="V449"/>
    <n v="50"/>
    <s v="Not working/Homemaker"/>
    <n v="7"/>
    <s v="Trades &amp; Technical Services"/>
    <n v="3"/>
    <b v="0"/>
    <s v="In-person outreach"/>
    <x v="13"/>
    <x v="2"/>
    <x v="0"/>
  </r>
  <r>
    <s v="V450"/>
    <n v="22"/>
    <s v="Employed"/>
    <n v="2"/>
    <s v="Hospitality, Tourism &amp; Services"/>
    <n v="2"/>
    <b v="0"/>
    <s v="Online marketing"/>
    <x v="8"/>
    <x v="4"/>
    <x v="0"/>
  </r>
  <r>
    <s v="V451"/>
    <n v="24"/>
    <s v="Employed"/>
    <n v="2"/>
    <s v="Engineering &amp; Manufacturing"/>
    <n v="2"/>
    <b v="0"/>
    <s v="Online marketing"/>
    <x v="6"/>
    <x v="4"/>
    <x v="0"/>
  </r>
  <r>
    <s v="V452"/>
    <n v="19"/>
    <s v="Student"/>
    <n v="2"/>
    <s v="Healthcare &amp; Life Sciences"/>
    <n v="5"/>
    <b v="1"/>
    <s v="University partnership"/>
    <x v="15"/>
    <x v="1"/>
    <x v="0"/>
  </r>
  <r>
    <s v="V453"/>
    <n v="40"/>
    <s v="Employed"/>
    <n v="16"/>
    <s v="Natural Sciences &amp; Environment"/>
    <n v="0"/>
    <b v="0"/>
    <s v="Online marketing"/>
    <x v="11"/>
    <x v="0"/>
    <x v="1"/>
  </r>
  <r>
    <s v="V454"/>
    <n v="18"/>
    <s v="Student"/>
    <n v="2"/>
    <s v="Healthcare &amp; Life Sciences"/>
    <n v="3"/>
    <b v="1"/>
    <s v="University partnership"/>
    <x v="6"/>
    <x v="1"/>
    <x v="0"/>
  </r>
  <r>
    <s v="V455"/>
    <n v="25"/>
    <s v="Not working/Homemaker"/>
    <n v="5"/>
    <s v="Natural Sciences &amp; Environment"/>
    <n v="3"/>
    <b v="0"/>
    <s v="In-person outreach"/>
    <x v="6"/>
    <x v="2"/>
    <x v="1"/>
  </r>
  <r>
    <s v="V456"/>
    <n v="19"/>
    <s v="Student"/>
    <n v="0"/>
    <s v="Education &amp; Training"/>
    <n v="3"/>
    <b v="0"/>
    <s v="University partnership"/>
    <x v="20"/>
    <x v="1"/>
    <x v="0"/>
  </r>
  <r>
    <s v="V457"/>
    <n v="54"/>
    <s v="Not working/Homemaker"/>
    <n v="25"/>
    <s v="Information Technology &amp; Computer Science"/>
    <n v="4"/>
    <b v="0"/>
    <s v="In-person outreach"/>
    <x v="14"/>
    <x v="2"/>
    <x v="0"/>
  </r>
  <r>
    <s v="V458"/>
    <n v="18"/>
    <s v="Student"/>
    <n v="2"/>
    <s v="Natural Sciences &amp; Environment"/>
    <n v="4"/>
    <b v="0"/>
    <s v="University partnership"/>
    <x v="21"/>
    <x v="1"/>
    <x v="0"/>
  </r>
  <r>
    <s v="V459"/>
    <n v="57"/>
    <s v="Not working/Homemaker"/>
    <n v="38"/>
    <s v="Trades &amp; Technical Services"/>
    <n v="4"/>
    <b v="0"/>
    <s v="In-person outreach"/>
    <x v="13"/>
    <x v="2"/>
    <x v="0"/>
  </r>
  <r>
    <s v="V460"/>
    <n v="21"/>
    <s v="Student"/>
    <n v="0"/>
    <s v="Trades &amp; Technical Services"/>
    <n v="3"/>
    <b v="1"/>
    <s v="University partnership"/>
    <x v="21"/>
    <x v="1"/>
    <x v="0"/>
  </r>
  <r>
    <s v="V461"/>
    <n v="20"/>
    <s v="Student"/>
    <n v="2"/>
    <s v="Hospitality, Tourism &amp; Services"/>
    <n v="4"/>
    <b v="1"/>
    <s v="University partnership"/>
    <x v="4"/>
    <x v="1"/>
    <x v="0"/>
  </r>
  <r>
    <s v="V462"/>
    <n v="18"/>
    <s v="Student"/>
    <n v="1"/>
    <s v="Healthcare &amp; Life Sciences"/>
    <n v="5"/>
    <b v="1"/>
    <s v="University partnership"/>
    <x v="4"/>
    <x v="1"/>
    <x v="0"/>
  </r>
  <r>
    <s v="V463"/>
    <n v="20"/>
    <s v="Student"/>
    <n v="1"/>
    <s v="Healthcare &amp; Life Sciences"/>
    <n v="5"/>
    <b v="1"/>
    <s v="University partnership"/>
    <x v="4"/>
    <x v="1"/>
    <x v="1"/>
  </r>
  <r>
    <s v="V464"/>
    <n v="45"/>
    <s v="Employed"/>
    <n v="14"/>
    <s v="Hospitality, Tourism &amp; Services"/>
    <n v="1"/>
    <b v="0"/>
    <s v="Online marketing"/>
    <x v="22"/>
    <x v="0"/>
    <x v="1"/>
  </r>
  <r>
    <s v="V465"/>
    <n v="27"/>
    <s v="Employed"/>
    <n v="2"/>
    <s v="Hospitality, Tourism &amp; Services"/>
    <n v="2"/>
    <b v="0"/>
    <s v="Online marketing"/>
    <x v="6"/>
    <x v="4"/>
    <x v="0"/>
  </r>
  <r>
    <s v="V466"/>
    <n v="29"/>
    <s v="Employed"/>
    <n v="0"/>
    <s v="Engineering &amp; Manufacturing"/>
    <n v="1"/>
    <b v="0"/>
    <s v="Online marketing"/>
    <x v="13"/>
    <x v="4"/>
    <x v="0"/>
  </r>
  <r>
    <s v="V467"/>
    <n v="19"/>
    <s v="Student"/>
    <n v="2"/>
    <s v="Healthcare &amp; Life Sciences"/>
    <n v="3"/>
    <b v="1"/>
    <s v="University partnership"/>
    <x v="6"/>
    <x v="1"/>
    <x v="0"/>
  </r>
  <r>
    <s v="V468"/>
    <n v="29"/>
    <s v="Employed"/>
    <n v="1"/>
    <s v="Hospitality, Tourism &amp; Services"/>
    <n v="1"/>
    <b v="1"/>
    <s v="Online marketing"/>
    <x v="8"/>
    <x v="4"/>
    <x v="1"/>
  </r>
  <r>
    <s v="V469"/>
    <n v="32"/>
    <s v="Not working/Homemaker"/>
    <n v="12"/>
    <s v="Engineering &amp; Manufacturing"/>
    <n v="5"/>
    <b v="0"/>
    <s v="In-person outreach"/>
    <x v="14"/>
    <x v="2"/>
    <x v="0"/>
  </r>
  <r>
    <s v="V470"/>
    <n v="18"/>
    <s v="Student"/>
    <n v="1"/>
    <s v="Education &amp; Training"/>
    <n v="3"/>
    <b v="1"/>
    <s v="University partnership"/>
    <x v="4"/>
    <x v="1"/>
    <x v="0"/>
  </r>
  <r>
    <s v="V471"/>
    <n v="23"/>
    <s v="Employed"/>
    <n v="4"/>
    <s v="Engineering &amp; Manufacturing"/>
    <n v="2"/>
    <b v="0"/>
    <s v="Online marketing"/>
    <x v="1"/>
    <x v="4"/>
    <x v="0"/>
  </r>
  <r>
    <s v="V472"/>
    <n v="39"/>
    <s v="Not working/Homemaker"/>
    <n v="11"/>
    <s v="Engineering &amp; Manufacturing"/>
    <n v="3"/>
    <b v="0"/>
    <s v="In-person outreach"/>
    <x v="14"/>
    <x v="2"/>
    <x v="0"/>
  </r>
  <r>
    <s v="V473"/>
    <n v="18"/>
    <s v="Student"/>
    <n v="1"/>
    <s v="Natural Sciences &amp; Environment"/>
    <n v="5"/>
    <b v="0"/>
    <s v="University partnership"/>
    <x v="3"/>
    <x v="1"/>
    <x v="0"/>
  </r>
  <r>
    <s v="V474"/>
    <n v="45"/>
    <s v="Employed"/>
    <n v="17"/>
    <s v="Trades &amp; Technical Services"/>
    <n v="0"/>
    <b v="1"/>
    <s v="Online marketing"/>
    <x v="22"/>
    <x v="0"/>
    <x v="0"/>
  </r>
  <r>
    <s v="V475"/>
    <n v="29"/>
    <s v="Employed"/>
    <n v="3"/>
    <s v="Engineering &amp; Manufacturing"/>
    <n v="1"/>
    <b v="0"/>
    <s v="Online marketing"/>
    <x v="8"/>
    <x v="4"/>
    <x v="0"/>
  </r>
  <r>
    <s v="V476"/>
    <n v="68"/>
    <s v="Retired"/>
    <n v="38"/>
    <s v="Information Technology &amp; Computer Science"/>
    <n v="3"/>
    <b v="0"/>
    <s v="In-person outreach"/>
    <x v="1"/>
    <x v="3"/>
    <x v="0"/>
  </r>
  <r>
    <s v="V477"/>
    <n v="49"/>
    <s v="Employed"/>
    <n v="10"/>
    <s v="Education &amp; Training"/>
    <n v="1"/>
    <b v="1"/>
    <s v="Online marketing"/>
    <x v="16"/>
    <x v="0"/>
    <x v="0"/>
  </r>
  <r>
    <s v="V478"/>
    <n v="29"/>
    <s v="Employed"/>
    <n v="2"/>
    <s v="Natural Sciences &amp; Environment"/>
    <n v="0"/>
    <b v="0"/>
    <s v="Online marketing"/>
    <x v="1"/>
    <x v="4"/>
    <x v="0"/>
  </r>
  <r>
    <s v="V479"/>
    <n v="24"/>
    <s v="Employed"/>
    <n v="3"/>
    <s v="Education &amp; Training"/>
    <n v="1"/>
    <b v="1"/>
    <s v="Online marketing"/>
    <x v="6"/>
    <x v="4"/>
    <x v="0"/>
  </r>
  <r>
    <s v="V480"/>
    <n v="21"/>
    <s v="Student"/>
    <n v="1"/>
    <s v="Healthcare &amp; Life Sciences"/>
    <n v="5"/>
    <b v="1"/>
    <s v="University partnership"/>
    <x v="4"/>
    <x v="1"/>
    <x v="0"/>
  </r>
  <r>
    <s v="V481"/>
    <n v="21"/>
    <s v="Student"/>
    <n v="2"/>
    <s v="Healthcare &amp; Life Sciences"/>
    <n v="5"/>
    <b v="1"/>
    <s v="University partnership"/>
    <x v="15"/>
    <x v="1"/>
    <x v="1"/>
  </r>
  <r>
    <s v="V482"/>
    <n v="19"/>
    <s v="Student"/>
    <n v="2"/>
    <s v="Information Technology &amp; Computer Science"/>
    <n v="3"/>
    <b v="0"/>
    <s v="University partnership"/>
    <x v="3"/>
    <x v="1"/>
    <x v="1"/>
  </r>
  <r>
    <s v="V483"/>
    <n v="52"/>
    <s v="Employed"/>
    <n v="10"/>
    <s v="Information Technology &amp; Computer Science"/>
    <n v="2"/>
    <b v="0"/>
    <s v="Online marketing"/>
    <x v="0"/>
    <x v="0"/>
    <x v="0"/>
  </r>
  <r>
    <s v="V484"/>
    <n v="18"/>
    <s v="Student"/>
    <n v="0"/>
    <s v="Healthcare &amp; Life Sciences"/>
    <n v="5"/>
    <b v="1"/>
    <s v="University partnership"/>
    <x v="6"/>
    <x v="1"/>
    <x v="0"/>
  </r>
  <r>
    <s v="V485"/>
    <n v="43"/>
    <s v="Employed"/>
    <n v="6"/>
    <s v="Arts, Media &amp; Communications"/>
    <n v="2"/>
    <b v="0"/>
    <s v="Online marketing"/>
    <x v="22"/>
    <x v="0"/>
    <x v="1"/>
  </r>
  <r>
    <s v="V486"/>
    <n v="18"/>
    <s v="Student"/>
    <n v="2"/>
    <s v="Healthcare &amp; Life Sciences"/>
    <n v="3"/>
    <b v="1"/>
    <s v="University partnership"/>
    <x v="4"/>
    <x v="1"/>
    <x v="0"/>
  </r>
  <r>
    <s v="V487"/>
    <n v="51"/>
    <s v="Not working/Homemaker"/>
    <n v="19"/>
    <s v="Engineering &amp; Manufacturing"/>
    <n v="4"/>
    <b v="1"/>
    <s v="In-person outreach"/>
    <x v="7"/>
    <x v="2"/>
    <x v="1"/>
  </r>
  <r>
    <s v="V488"/>
    <n v="41"/>
    <s v="Employed"/>
    <n v="21"/>
    <s v="Healthcare &amp; Life Sciences"/>
    <n v="2"/>
    <b v="0"/>
    <s v="Online marketing"/>
    <x v="3"/>
    <x v="0"/>
    <x v="0"/>
  </r>
  <r>
    <s v="V489"/>
    <n v="29"/>
    <s v="Employed"/>
    <n v="5"/>
    <s v="Healthcare &amp; Life Sciences"/>
    <n v="2"/>
    <b v="0"/>
    <s v="Online marketing"/>
    <x v="6"/>
    <x v="4"/>
    <x v="1"/>
  </r>
  <r>
    <s v="V490"/>
    <n v="53"/>
    <s v="Not working/Homemaker"/>
    <n v="22"/>
    <s v="Information Technology &amp; Computer Science"/>
    <n v="3"/>
    <b v="0"/>
    <s v="In-person outreach"/>
    <x v="12"/>
    <x v="2"/>
    <x v="1"/>
  </r>
  <r>
    <s v="V491"/>
    <n v="19"/>
    <s v="Student"/>
    <n v="2"/>
    <s v="Healthcare &amp; Life Sciences"/>
    <n v="4"/>
    <b v="1"/>
    <s v="University partnership"/>
    <x v="1"/>
    <x v="1"/>
    <x v="0"/>
  </r>
  <r>
    <s v="V492"/>
    <n v="54"/>
    <s v="Not working/Homemaker"/>
    <n v="12"/>
    <s v="Law, Governance &amp; Public Policy"/>
    <n v="3"/>
    <b v="0"/>
    <s v="In-person outreach"/>
    <x v="14"/>
    <x v="2"/>
    <x v="1"/>
  </r>
  <r>
    <s v="V493"/>
    <n v="19"/>
    <s v="Student"/>
    <n v="1"/>
    <s v="Healthcare &amp; Life Sciences"/>
    <n v="5"/>
    <b v="1"/>
    <s v="University partnership"/>
    <x v="1"/>
    <x v="1"/>
    <x v="0"/>
  </r>
  <r>
    <s v="V494"/>
    <n v="18"/>
    <s v="Student"/>
    <n v="1"/>
    <s v="Engineering &amp; Manufacturing"/>
    <n v="5"/>
    <b v="0"/>
    <s v="University partnership"/>
    <x v="3"/>
    <x v="1"/>
    <x v="1"/>
  </r>
  <r>
    <s v="V495"/>
    <n v="20"/>
    <s v="Student"/>
    <n v="0"/>
    <s v="Healthcare &amp; Life Sciences"/>
    <n v="5"/>
    <b v="1"/>
    <s v="University partnership"/>
    <x v="18"/>
    <x v="1"/>
    <x v="0"/>
  </r>
  <r>
    <s v="V496"/>
    <n v="20"/>
    <s v="Student"/>
    <n v="0"/>
    <s v="Healthcare &amp; Life Sciences"/>
    <n v="5"/>
    <b v="1"/>
    <s v="University partnership"/>
    <x v="4"/>
    <x v="1"/>
    <x v="1"/>
  </r>
  <r>
    <s v="V497"/>
    <n v="26"/>
    <s v="Employed"/>
    <n v="1"/>
    <s v="Information Technology &amp; Computer Science"/>
    <n v="2"/>
    <b v="1"/>
    <s v="Online marketing"/>
    <x v="6"/>
    <x v="4"/>
    <x v="1"/>
  </r>
  <r>
    <s v="V498"/>
    <n v="49"/>
    <s v="Employed"/>
    <n v="15"/>
    <s v="Natural Sciences &amp; Environment"/>
    <n v="1"/>
    <b v="0"/>
    <s v="Online marketing"/>
    <x v="22"/>
    <x v="0"/>
    <x v="0"/>
  </r>
  <r>
    <s v="V499"/>
    <n v="27"/>
    <s v="Not working/Homemaker"/>
    <n v="10"/>
    <s v="Hospitality, Tourism &amp; Services"/>
    <n v="5"/>
    <b v="1"/>
    <s v="In-person outreach"/>
    <x v="13"/>
    <x v="2"/>
    <x v="0"/>
  </r>
  <r>
    <s v="V500"/>
    <n v="20"/>
    <s v="Student"/>
    <n v="2"/>
    <s v="Healthcare &amp; Life Sciences"/>
    <n v="4"/>
    <b v="1"/>
    <s v="University partnership"/>
    <x v="18"/>
    <x v="1"/>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200"/>
    <x v="0"/>
    <x v="0"/>
  </r>
  <r>
    <x v="1"/>
    <x v="1"/>
    <n v="100"/>
    <x v="1"/>
    <x v="1"/>
  </r>
  <r>
    <x v="2"/>
    <x v="0"/>
    <n v="200"/>
    <x v="2"/>
    <x v="2"/>
  </r>
  <r>
    <x v="3"/>
    <x v="2"/>
    <n v="250"/>
    <x v="3"/>
    <x v="3"/>
  </r>
  <r>
    <x v="4"/>
    <x v="1"/>
    <n v="100"/>
    <x v="4"/>
    <x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s v="Medium cost (63 SAR/hour)_x000a_"/>
    <m/>
    <s v="• Already trained_x000a_• High HC background_x000a_• Enthusiastic"/>
    <s v="• Limited availability"/>
    <x v="0"/>
  </r>
  <r>
    <x v="1"/>
    <x v="1"/>
    <x v="1"/>
    <s v=" Low cost (50 SAR/hour) "/>
    <s v="Lowest hours (2.0)"/>
    <s v="• Professional skills"/>
    <s v="• No training_x000a_• Work commitments"/>
    <x v="1"/>
  </r>
  <r>
    <x v="2"/>
    <x v="2"/>
    <x v="2"/>
    <m/>
    <s v=" Lowest hours (1.5)"/>
    <s v="• Experienced_x000a_• Professional expertise"/>
    <m/>
    <x v="2"/>
  </r>
  <r>
    <x v="3"/>
    <x v="3"/>
    <x v="0"/>
    <s v="Lowest cost (40 SAR/hour)"/>
    <s v=" Highest hours (5.0)"/>
    <s v="• Mostly HC background"/>
    <s v="• Health limitations"/>
    <x v="3"/>
  </r>
  <r>
    <x v="4"/>
    <x v="4"/>
    <x v="1"/>
    <s v="Medium cost (57 SAR/hour)"/>
    <m/>
    <s v="• Flexible schedules_x000a_• All NHC background"/>
    <s v="• Need training"/>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EC04E-24EF-469B-8D56-ADBE5C9CDD32}" name="P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ments">
  <location ref="B27:C33" firstHeaderRow="1" firstDataRow="1" firstDataCol="1"/>
  <pivotFields count="11">
    <pivotField showAll="0"/>
    <pivotField showAll="0"/>
    <pivotField showAll="0"/>
    <pivotField showAll="0"/>
    <pivotField showAll="0"/>
    <pivotField dataField="1" showAll="0"/>
    <pivotField showAll="0"/>
    <pivotField showAll="0"/>
    <pivotField showAll="0">
      <items count="25">
        <item x="5"/>
        <item x="11"/>
        <item x="16"/>
        <item x="22"/>
        <item x="0"/>
        <item x="2"/>
        <item x="23"/>
        <item x="19"/>
        <item x="20"/>
        <item x="9"/>
        <item x="21"/>
        <item x="3"/>
        <item x="10"/>
        <item x="4"/>
        <item x="1"/>
        <item x="15"/>
        <item x="8"/>
        <item x="18"/>
        <item x="6"/>
        <item x="13"/>
        <item x="12"/>
        <item x="17"/>
        <item x="14"/>
        <item x="7"/>
        <item t="default"/>
      </items>
    </pivotField>
    <pivotField axis="axisRow" showAll="0">
      <items count="6">
        <item x="2"/>
        <item x="0"/>
        <item x="3"/>
        <item x="1"/>
        <item x="4"/>
        <item t="default"/>
      </items>
    </pivotField>
    <pivotField showAll="0">
      <items count="3">
        <item x="1"/>
        <item x="0"/>
        <item t="default"/>
      </items>
    </pivotField>
  </pivotFields>
  <rowFields count="1">
    <field x="9"/>
  </rowFields>
  <rowItems count="6">
    <i>
      <x/>
    </i>
    <i>
      <x v="1"/>
    </i>
    <i>
      <x v="2"/>
    </i>
    <i>
      <x v="3"/>
    </i>
    <i>
      <x v="4"/>
    </i>
    <i t="grand">
      <x/>
    </i>
  </rowItems>
  <colItems count="1">
    <i/>
  </colItems>
  <dataFields count="1">
    <dataField name="Sum of Average Monthly Hours" fld="5" showDataAs="percentOfTotal" baseField="0" baseItem="0" numFmtId="10"/>
  </dataFields>
  <formats count="6">
    <format dxfId="437">
      <pivotArea type="all" dataOnly="0" outline="0" fieldPosition="0"/>
    </format>
    <format dxfId="436">
      <pivotArea outline="0" collapsedLevelsAreSubtotals="1" fieldPosition="0"/>
    </format>
    <format dxfId="435">
      <pivotArea field="9" type="button" dataOnly="0" labelOnly="1" outline="0" axis="axisRow" fieldPosition="0"/>
    </format>
    <format dxfId="434">
      <pivotArea dataOnly="0" labelOnly="1" fieldPosition="0">
        <references count="1">
          <reference field="9" count="0"/>
        </references>
      </pivotArea>
    </format>
    <format dxfId="433">
      <pivotArea dataOnly="0" labelOnly="1" grandRow="1" outline="0" fieldPosition="0"/>
    </format>
    <format dxfId="432">
      <pivotArea dataOnly="0" labelOnly="1" outline="0" axis="axisValues" fieldPosition="0"/>
    </format>
  </formats>
  <chartFormats count="12">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 chart="0" format="6">
      <pivotArea type="data" outline="0" fieldPosition="0">
        <references count="2">
          <reference field="4294967294" count="1" selected="0">
            <x v="0"/>
          </reference>
          <reference field="9" count="1" selected="0">
            <x v="2"/>
          </reference>
        </references>
      </pivotArea>
    </chartFormat>
    <chartFormat chart="0" format="7">
      <pivotArea type="data" outline="0" fieldPosition="0">
        <references count="2">
          <reference field="4294967294" count="1" selected="0">
            <x v="0"/>
          </reference>
          <reference field="9" count="1" selected="0">
            <x v="3"/>
          </reference>
        </references>
      </pivotArea>
    </chartFormat>
    <chartFormat chart="0" format="8">
      <pivotArea type="data" outline="0" fieldPosition="0">
        <references count="2">
          <reference field="4294967294" count="1" selected="0">
            <x v="0"/>
          </reference>
          <reference field="9" count="1" selected="0">
            <x v="4"/>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9" count="1" selected="0">
            <x v="0"/>
          </reference>
        </references>
      </pivotArea>
    </chartFormat>
    <chartFormat chart="9" format="17">
      <pivotArea type="data" outline="0" fieldPosition="0">
        <references count="2">
          <reference field="4294967294" count="1" selected="0">
            <x v="0"/>
          </reference>
          <reference field="9" count="1" selected="0">
            <x v="1"/>
          </reference>
        </references>
      </pivotArea>
    </chartFormat>
    <chartFormat chart="9" format="18">
      <pivotArea type="data" outline="0" fieldPosition="0">
        <references count="2">
          <reference field="4294967294" count="1" selected="0">
            <x v="0"/>
          </reference>
          <reference field="9" count="1" selected="0">
            <x v="2"/>
          </reference>
        </references>
      </pivotArea>
    </chartFormat>
    <chartFormat chart="9" format="19">
      <pivotArea type="data" outline="0" fieldPosition="0">
        <references count="2">
          <reference field="4294967294" count="1" selected="0">
            <x v="0"/>
          </reference>
          <reference field="9" count="1" selected="0">
            <x v="3"/>
          </reference>
        </references>
      </pivotArea>
    </chartFormat>
    <chartFormat chart="9" format="20">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23E3B-3CB3-4EC7-B692-CF4B2EDE7368}" name="P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 colHeaderCaption="">
  <location ref="B7:E14" firstHeaderRow="1" firstDataRow="2" firstDataCol="1"/>
  <pivotFields count="11">
    <pivotField dataField="1" showAll="0"/>
    <pivotField showAll="0"/>
    <pivotField showAll="0"/>
    <pivotField showAll="0"/>
    <pivotField showAll="0"/>
    <pivotField showAll="0"/>
    <pivotField showAll="0"/>
    <pivotField showAll="0"/>
    <pivotField showAll="0">
      <items count="25">
        <item x="5"/>
        <item x="11"/>
        <item x="16"/>
        <item x="22"/>
        <item x="0"/>
        <item x="2"/>
        <item x="23"/>
        <item x="19"/>
        <item x="20"/>
        <item x="9"/>
        <item x="21"/>
        <item x="3"/>
        <item x="10"/>
        <item x="4"/>
        <item x="1"/>
        <item x="15"/>
        <item x="8"/>
        <item x="18"/>
        <item x="6"/>
        <item x="13"/>
        <item x="12"/>
        <item x="17"/>
        <item x="14"/>
        <item x="7"/>
        <item t="default"/>
      </items>
    </pivotField>
    <pivotField axis="axisRow" showAll="0">
      <items count="6">
        <item x="2"/>
        <item x="0"/>
        <item x="3"/>
        <item x="1"/>
        <item x="4"/>
        <item t="default"/>
      </items>
    </pivotField>
    <pivotField axis="axisCol" showAll="0">
      <items count="3">
        <item x="1"/>
        <item x="0"/>
        <item t="default"/>
      </items>
    </pivotField>
  </pivotFields>
  <rowFields count="1">
    <field x="9"/>
  </rowFields>
  <rowItems count="6">
    <i>
      <x/>
    </i>
    <i>
      <x v="1"/>
    </i>
    <i>
      <x v="2"/>
    </i>
    <i>
      <x v="3"/>
    </i>
    <i>
      <x v="4"/>
    </i>
    <i t="grand">
      <x/>
    </i>
  </rowItems>
  <colFields count="1">
    <field x="10"/>
  </colFields>
  <colItems count="3">
    <i>
      <x/>
    </i>
    <i>
      <x v="1"/>
    </i>
    <i t="grand">
      <x/>
    </i>
  </colItems>
  <dataFields count="1">
    <dataField name="Count of Volunteer ID" fld="0" subtotal="count" baseField="0" baseItem="0"/>
  </dataFields>
  <formats count="10">
    <format dxfId="447">
      <pivotArea type="all" dataOnly="0" outline="0" fieldPosition="0"/>
    </format>
    <format dxfId="446">
      <pivotArea outline="0" collapsedLevelsAreSubtotals="1" fieldPosition="0"/>
    </format>
    <format dxfId="445">
      <pivotArea type="origin" dataOnly="0" labelOnly="1" outline="0" fieldPosition="0"/>
    </format>
    <format dxfId="444">
      <pivotArea field="10" type="button" dataOnly="0" labelOnly="1" outline="0" axis="axisCol" fieldPosition="0"/>
    </format>
    <format dxfId="443">
      <pivotArea type="topRight" dataOnly="0" labelOnly="1" outline="0" fieldPosition="0"/>
    </format>
    <format dxfId="442">
      <pivotArea field="9" type="button" dataOnly="0" labelOnly="1" outline="0" axis="axisRow" fieldPosition="0"/>
    </format>
    <format dxfId="441">
      <pivotArea dataOnly="0" labelOnly="1" fieldPosition="0">
        <references count="1">
          <reference field="9" count="0"/>
        </references>
      </pivotArea>
    </format>
    <format dxfId="440">
      <pivotArea dataOnly="0" labelOnly="1" grandRow="1" outline="0" fieldPosition="0"/>
    </format>
    <format dxfId="439">
      <pivotArea dataOnly="0" labelOnly="1" fieldPosition="0">
        <references count="1">
          <reference field="10" count="0"/>
        </references>
      </pivotArea>
    </format>
    <format dxfId="438">
      <pivotArea dataOnly="0" labelOnly="1" grandCol="1" outline="0" fieldPosition="0"/>
    </format>
  </formats>
  <chartFormats count="4">
    <chartFormat chart="0" format="4" series="1">
      <pivotArea type="data" outline="0" fieldPosition="0">
        <references count="2">
          <reference field="4294967294" count="1" selected="0">
            <x v="0"/>
          </reference>
          <reference field="10" count="1" selected="0">
            <x v="0"/>
          </reference>
        </references>
      </pivotArea>
    </chartFormat>
    <chartFormat chart="0" format="5"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C63265-129E-4C20-A8CB-F4DE9753C98A}" name="P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s">
  <location ref="B33:D39" firstHeaderRow="0" firstDataRow="1" firstDataCol="1"/>
  <pivotFields count="5">
    <pivotField axis="axisRow" showAll="0">
      <items count="6">
        <item x="0"/>
        <item x="1"/>
        <item x="2"/>
        <item x="3"/>
        <item x="4"/>
        <item t="default"/>
      </items>
    </pivotField>
    <pivotField showAll="0">
      <items count="4">
        <item x="0"/>
        <item x="1"/>
        <item x="2"/>
        <item t="default"/>
      </items>
    </pivotField>
    <pivotField showAll="0"/>
    <pivotField dataField="1" numFmtId="1" showAll="0"/>
    <pivotField dataField="1" numFmtId="1" showAll="0"/>
  </pivotFields>
  <rowFields count="1">
    <field x="0"/>
  </rowFields>
  <rowItems count="6">
    <i>
      <x/>
    </i>
    <i>
      <x v="1"/>
    </i>
    <i>
      <x v="2"/>
    </i>
    <i>
      <x v="3"/>
    </i>
    <i>
      <x v="4"/>
    </i>
    <i t="grand">
      <x/>
    </i>
  </rowItems>
  <colFields count="1">
    <field x="-2"/>
  </colFields>
  <colItems count="2">
    <i>
      <x/>
    </i>
    <i i="1">
      <x v="1"/>
    </i>
  </colItems>
  <dataFields count="2">
    <dataField name=" HC Cost of Acquisition" fld="3" baseField="0" baseItem="0" numFmtId="1"/>
    <dataField name=" NHC Cost of Acquisition" fld="4" baseField="0" baseItem="0" numFmtId="1"/>
  </dataFields>
  <formats count="2">
    <format dxfId="469">
      <pivotArea outline="0" collapsedLevelsAreSubtotals="1" fieldPosition="0"/>
    </format>
    <format dxfId="468">
      <pivotArea collapsedLevelsAreSubtotals="1" fieldPosition="0">
        <references count="2">
          <reference field="4294967294" count="1" selected="0">
            <x v="0"/>
          </reference>
          <reference field="0"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C4CD40-D0EE-4404-B6F2-3884CC8FB785}" name="P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gments ( HC-NHC)">
  <location ref="B5:C18" firstHeaderRow="1" firstDataRow="1" firstDataCol="1"/>
  <pivotFields count="11">
    <pivotField showAll="0"/>
    <pivotField showAll="0"/>
    <pivotField showAll="0"/>
    <pivotField showAll="0"/>
    <pivotField showAll="0"/>
    <pivotField dataField="1" showAll="0"/>
    <pivotField showAll="0"/>
    <pivotField showAll="0"/>
    <pivotField showAll="0">
      <items count="25">
        <item x="5"/>
        <item x="11"/>
        <item x="16"/>
        <item x="22"/>
        <item x="0"/>
        <item x="2"/>
        <item x="23"/>
        <item x="19"/>
        <item x="20"/>
        <item x="9"/>
        <item x="21"/>
        <item x="3"/>
        <item x="10"/>
        <item x="4"/>
        <item x="1"/>
        <item x="15"/>
        <item x="8"/>
        <item x="18"/>
        <item x="6"/>
        <item x="13"/>
        <item x="12"/>
        <item x="17"/>
        <item x="14"/>
        <item x="7"/>
        <item t="default"/>
      </items>
    </pivotField>
    <pivotField axis="axisRow" showAll="0">
      <items count="6">
        <item x="2"/>
        <item x="0"/>
        <item x="3"/>
        <item x="1"/>
        <item x="4"/>
        <item t="default"/>
      </items>
    </pivotField>
    <pivotField axis="axisRow" showAll="0">
      <items count="3">
        <item x="1"/>
        <item x="0"/>
        <item t="default"/>
      </items>
    </pivotField>
  </pivotFields>
  <rowFields count="2">
    <field x="10"/>
    <field x="9"/>
  </rowFields>
  <rowItems count="13">
    <i>
      <x/>
    </i>
    <i r="1">
      <x/>
    </i>
    <i r="1">
      <x v="1"/>
    </i>
    <i r="1">
      <x v="2"/>
    </i>
    <i r="1">
      <x v="3"/>
    </i>
    <i r="1">
      <x v="4"/>
    </i>
    <i>
      <x v="1"/>
    </i>
    <i r="1">
      <x/>
    </i>
    <i r="1">
      <x v="1"/>
    </i>
    <i r="1">
      <x v="2"/>
    </i>
    <i r="1">
      <x v="3"/>
    </i>
    <i r="1">
      <x v="4"/>
    </i>
    <i t="grand">
      <x/>
    </i>
  </rowItems>
  <colItems count="1">
    <i/>
  </colItems>
  <dataFields count="1">
    <dataField name="Average of Average Monthly Hours" fld="5" subtotal="average" baseField="10" baseItem="0"/>
  </dataFields>
  <formats count="12">
    <format dxfId="481">
      <pivotArea collapsedLevelsAreSubtotals="1" fieldPosition="0">
        <references count="1">
          <reference field="10" count="1">
            <x v="0"/>
          </reference>
        </references>
      </pivotArea>
    </format>
    <format dxfId="480">
      <pivotArea collapsedLevelsAreSubtotals="1" fieldPosition="0">
        <references count="2">
          <reference field="9" count="0"/>
          <reference field="10" count="1" selected="0">
            <x v="0"/>
          </reference>
        </references>
      </pivotArea>
    </format>
    <format dxfId="479">
      <pivotArea collapsedLevelsAreSubtotals="1" fieldPosition="0">
        <references count="1">
          <reference field="10" count="1">
            <x v="1"/>
          </reference>
        </references>
      </pivotArea>
    </format>
    <format dxfId="478">
      <pivotArea collapsedLevelsAreSubtotals="1" fieldPosition="0">
        <references count="2">
          <reference field="9" count="0"/>
          <reference field="10" count="1" selected="0">
            <x v="1"/>
          </reference>
        </references>
      </pivotArea>
    </format>
    <format dxfId="477">
      <pivotArea type="all" dataOnly="0" outline="0" fieldPosition="0"/>
    </format>
    <format dxfId="476">
      <pivotArea outline="0" collapsedLevelsAreSubtotals="1" fieldPosition="0"/>
    </format>
    <format dxfId="475">
      <pivotArea field="10" type="button" dataOnly="0" labelOnly="1" outline="0" axis="axisRow" fieldPosition="0"/>
    </format>
    <format dxfId="474">
      <pivotArea dataOnly="0" labelOnly="1" fieldPosition="0">
        <references count="1">
          <reference field="10" count="0"/>
        </references>
      </pivotArea>
    </format>
    <format dxfId="473">
      <pivotArea dataOnly="0" labelOnly="1" grandRow="1" outline="0" fieldPosition="0"/>
    </format>
    <format dxfId="472">
      <pivotArea dataOnly="0" labelOnly="1" fieldPosition="0">
        <references count="2">
          <reference field="9" count="0"/>
          <reference field="10" count="1" selected="0">
            <x v="0"/>
          </reference>
        </references>
      </pivotArea>
    </format>
    <format dxfId="471">
      <pivotArea dataOnly="0" labelOnly="1" fieldPosition="0">
        <references count="2">
          <reference field="9" count="0"/>
          <reference field="10" count="1" selected="0">
            <x v="1"/>
          </reference>
        </references>
      </pivotArea>
    </format>
    <format dxfId="470">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9A4AFF-54FE-4638-892C-E2BE8A6E4B5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ot Trained Sectors">
  <location ref="F233:G244" firstHeaderRow="1" firstDataRow="1" firstDataCol="1"/>
  <pivotFields count="2">
    <pivotField axis="axisRow" showAll="0">
      <items count="11">
        <item x="4"/>
        <item x="7"/>
        <item x="8"/>
        <item x="5"/>
        <item x="3"/>
        <item x="9"/>
        <item x="2"/>
        <item x="0"/>
        <item x="1"/>
        <item x="6"/>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Average Monthly Hou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BFDEB4-7009-4346-8833-6E60D6329B5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8:J47" firstHeaderRow="1" firstDataRow="1" firstDataCol="1"/>
  <pivotFields count="2">
    <pivotField axis="axisRow" showAll="0">
      <items count="9">
        <item x="3"/>
        <item x="6"/>
        <item x="4"/>
        <item x="7"/>
        <item x="2"/>
        <item x="0"/>
        <item x="1"/>
        <item x="5"/>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Average Monthly Hou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E00E56-365E-4040-AFEB-C1EEC69B2123}"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J29" firstHeaderRow="1" firstDataRow="1" firstDataCol="1"/>
  <pivotFields count="2">
    <pivotField axis="axisRow" showAll="0">
      <items count="11">
        <item x="6"/>
        <item x="8"/>
        <item x="3"/>
        <item x="7"/>
        <item x="1"/>
        <item x="9"/>
        <item x="4"/>
        <item x="0"/>
        <item x="2"/>
        <item x="5"/>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Average Monthly Hou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1D90CB-4871-4ECA-A4B0-235B5BD01E4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ed Sectors">
  <location ref="J347:K358" firstHeaderRow="1" firstDataRow="1" firstDataCol="1"/>
  <pivotFields count="2">
    <pivotField axis="axisRow" showAll="0">
      <items count="11">
        <item x="3"/>
        <item x="8"/>
        <item x="1"/>
        <item x="4"/>
        <item x="0"/>
        <item x="9"/>
        <item x="5"/>
        <item x="6"/>
        <item x="7"/>
        <item x="2"/>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Average Monthly Hou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C22B05-7DD3-440A-BC1F-558876E9AD3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16:C22" firstHeaderRow="1" firstDataRow="1" firstDataCol="1"/>
  <pivotFields count="6">
    <pivotField showAll="0"/>
    <pivotField dataField="1" showAll="0"/>
    <pivotField showAll="0"/>
    <pivotField showAll="0"/>
    <pivotField axis="axisRow" showAll="0">
      <items count="3">
        <item x="0"/>
        <item x="1"/>
        <item t="default"/>
      </items>
    </pivotField>
    <pivotField axis="axisRow" showAll="0">
      <items count="3">
        <item x="1"/>
        <item x="0"/>
        <item t="default"/>
      </items>
    </pivotField>
  </pivotFields>
  <rowFields count="2">
    <field x="4"/>
    <field x="5"/>
  </rowFields>
  <rowItems count="6">
    <i>
      <x/>
    </i>
    <i r="1">
      <x v="1"/>
    </i>
    <i>
      <x v="1"/>
    </i>
    <i r="1">
      <x/>
    </i>
    <i r="1">
      <x v="1"/>
    </i>
    <i t="grand">
      <x/>
    </i>
  </rowItems>
  <colItems count="1">
    <i/>
  </colItems>
  <dataFields count="1">
    <dataField name="Sum of Forecasted Monthly Hours" fld="1" baseField="0" baseItem="0"/>
  </dataField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3">
          <reference field="4294967294" count="1" selected="0">
            <x v="0"/>
          </reference>
          <reference field="4" count="1" selected="0">
            <x v="0"/>
          </reference>
          <reference field="5" count="1" selected="0">
            <x v="1"/>
          </reference>
        </references>
      </pivotArea>
    </chartFormat>
    <chartFormat chart="1" format="6">
      <pivotArea type="data" outline="0" fieldPosition="0">
        <references count="3">
          <reference field="4294967294" count="1" selected="0">
            <x v="0"/>
          </reference>
          <reference field="4" count="1" selected="0">
            <x v="1"/>
          </reference>
          <reference field="5" count="1" selected="0">
            <x v="0"/>
          </reference>
        </references>
      </pivotArea>
    </chartFormat>
    <chartFormat chart="1" format="7">
      <pivotArea type="data" outline="0" fieldPosition="0">
        <references count="3">
          <reference field="4294967294" count="1" selected="0">
            <x v="0"/>
          </reference>
          <reference field="4" count="1" selected="0">
            <x v="1"/>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83F224-1CC3-47AE-B92F-AA6FED86DEB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ot Trained Sectors">
  <location ref="A3:B14" firstHeaderRow="1" firstDataRow="1" firstDataCol="1"/>
  <pivotFields count="2">
    <pivotField axis="axisRow" showAll="0">
      <items count="11">
        <item x="4"/>
        <item x="7"/>
        <item x="8"/>
        <item x="5"/>
        <item x="3"/>
        <item x="9"/>
        <item x="2"/>
        <item x="0"/>
        <item x="1"/>
        <item x="6"/>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Average Monthly Hours" fld="1" baseField="0" baseItem="0"/>
  </dataFields>
  <formats count="24">
    <format dxfId="385">
      <pivotArea type="all" dataOnly="0" outline="0" fieldPosition="0"/>
    </format>
    <format dxfId="384">
      <pivotArea outline="0" collapsedLevelsAreSubtotals="1" fieldPosition="0"/>
    </format>
    <format dxfId="383">
      <pivotArea field="0" type="button" dataOnly="0" labelOnly="1" outline="0" axis="axisRow" fieldPosition="0"/>
    </format>
    <format dxfId="382">
      <pivotArea dataOnly="0" labelOnly="1" fieldPosition="0">
        <references count="1">
          <reference field="0" count="0"/>
        </references>
      </pivotArea>
    </format>
    <format dxfId="381">
      <pivotArea dataOnly="0" labelOnly="1" grandRow="1" outline="0" fieldPosition="0"/>
    </format>
    <format dxfId="380">
      <pivotArea dataOnly="0" labelOnly="1" outline="0" axis="axisValues" fieldPosition="0"/>
    </format>
    <format dxfId="379">
      <pivotArea type="all" dataOnly="0" outline="0" fieldPosition="0"/>
    </format>
    <format dxfId="378">
      <pivotArea outline="0" collapsedLevelsAreSubtotals="1" fieldPosition="0"/>
    </format>
    <format dxfId="377">
      <pivotArea field="0" type="button" dataOnly="0" labelOnly="1" outline="0" axis="axisRow" fieldPosition="0"/>
    </format>
    <format dxfId="376">
      <pivotArea dataOnly="0" labelOnly="1" fieldPosition="0">
        <references count="1">
          <reference field="0" count="0"/>
        </references>
      </pivotArea>
    </format>
    <format dxfId="375">
      <pivotArea dataOnly="0" labelOnly="1" grandRow="1" outline="0"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field="0" type="button" dataOnly="0" labelOnly="1" outline="0" axis="axisRow" fieldPosition="0"/>
    </format>
    <format dxfId="370">
      <pivotArea dataOnly="0" labelOnly="1" fieldPosition="0">
        <references count="1">
          <reference field="0" count="0"/>
        </references>
      </pivotArea>
    </format>
    <format dxfId="369">
      <pivotArea dataOnly="0" labelOnly="1" grandRow="1" outline="0"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field="0" type="button" dataOnly="0" labelOnly="1" outline="0" axis="axisRow" fieldPosition="0"/>
    </format>
    <format dxfId="364">
      <pivotArea dataOnly="0" labelOnly="1" fieldPosition="0">
        <references count="1">
          <reference field="0" count="0"/>
        </references>
      </pivotArea>
    </format>
    <format dxfId="363">
      <pivotArea dataOnly="0" labelOnly="1" grandRow="1" outline="0" fieldPosition="0"/>
    </format>
    <format dxfId="3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577E7B-5381-4D94-9036-16C8E973464C}" name="P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2:C38" firstHeaderRow="0" firstDataRow="1" firstDataCol="1"/>
  <pivotFields count="9">
    <pivotField showAll="0"/>
    <pivotField dataField="1" showAll="0"/>
    <pivotField showAll="0"/>
    <pivotField showAll="0"/>
    <pivotField showAll="0"/>
    <pivotField axis="axisRow" showAll="0">
      <items count="3">
        <item x="0"/>
        <item x="1"/>
        <item t="default"/>
      </items>
    </pivotField>
    <pivotField axis="axisRow" showAll="0">
      <items count="3">
        <item x="1"/>
        <item x="0"/>
        <item t="default"/>
      </items>
    </pivotField>
    <pivotField showAll="0"/>
    <pivotField dataField="1" numFmtId="3" showAll="0">
      <items count="11">
        <item x="6"/>
        <item x="5"/>
        <item x="2"/>
        <item x="4"/>
        <item x="1"/>
        <item x="3"/>
        <item x="8"/>
        <item x="7"/>
        <item x="9"/>
        <item x="0"/>
        <item t="default"/>
      </items>
    </pivotField>
  </pivotFields>
  <rowFields count="2">
    <field x="5"/>
    <field x="6"/>
  </rowFields>
  <rowItems count="6">
    <i>
      <x/>
    </i>
    <i r="1">
      <x v="1"/>
    </i>
    <i>
      <x v="1"/>
    </i>
    <i r="1">
      <x/>
    </i>
    <i r="1">
      <x v="1"/>
    </i>
    <i t="grand">
      <x/>
    </i>
  </rowItems>
  <colFields count="1">
    <field x="-2"/>
  </colFields>
  <colItems count="2">
    <i>
      <x/>
    </i>
    <i i="1">
      <x v="1"/>
    </i>
  </colItems>
  <dataFields count="2">
    <dataField name="Sum of Forecasted Hours " fld="1" baseField="0" baseItem="0"/>
    <dataField name="Sum of Gap" fld="8" baseField="0" baseItem="0"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67690C-07ED-4E37-B7BA-32D5F4CD8D8E}"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ed Sectors">
  <location ref="C3:D14" firstHeaderRow="1" firstDataRow="1" firstDataCol="1"/>
  <pivotFields count="2">
    <pivotField axis="axisRow" showAll="0">
      <items count="11">
        <item x="3"/>
        <item x="8"/>
        <item x="1"/>
        <item x="4"/>
        <item x="0"/>
        <item x="9"/>
        <item x="5"/>
        <item x="6"/>
        <item x="7"/>
        <item x="2"/>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Average Monthly Hours" fld="1" baseField="0" baseItem="0"/>
  </dataFields>
  <formats count="26">
    <format dxfId="411">
      <pivotArea type="all" dataOnly="0" outline="0" fieldPosition="0"/>
    </format>
    <format dxfId="410">
      <pivotArea outline="0" collapsedLevelsAreSubtotals="1" fieldPosition="0"/>
    </format>
    <format dxfId="409">
      <pivotArea field="0" type="button" dataOnly="0" labelOnly="1" outline="0" axis="axisRow" fieldPosition="0"/>
    </format>
    <format dxfId="408">
      <pivotArea dataOnly="0" labelOnly="1" fieldPosition="0">
        <references count="1">
          <reference field="0" count="0"/>
        </references>
      </pivotArea>
    </format>
    <format dxfId="407">
      <pivotArea dataOnly="0" labelOnly="1" grandRow="1" outline="0"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field="0" type="button" dataOnly="0" labelOnly="1" outline="0" axis="axisRow" fieldPosition="0"/>
    </format>
    <format dxfId="402">
      <pivotArea dataOnly="0" labelOnly="1" fieldPosition="0">
        <references count="1">
          <reference field="0" count="0"/>
        </references>
      </pivotArea>
    </format>
    <format dxfId="401">
      <pivotArea dataOnly="0" labelOnly="1" grandRow="1" outline="0" fieldPosition="0"/>
    </format>
    <format dxfId="400">
      <pivotArea dataOnly="0" labelOnly="1" outline="0" axis="axisValues" fieldPosition="0"/>
    </format>
    <format dxfId="399">
      <pivotArea type="all" dataOnly="0" outline="0" fieldPosition="0"/>
    </format>
    <format dxfId="398">
      <pivotArea field="0" type="button" dataOnly="0" labelOnly="1" outline="0" axis="axisRow" fieldPosition="0"/>
    </format>
    <format dxfId="397">
      <pivotArea dataOnly="0" labelOnly="1" fieldPosition="0">
        <references count="1">
          <reference field="0" count="0"/>
        </references>
      </pivotArea>
    </format>
    <format dxfId="396">
      <pivotArea dataOnly="0" labelOnly="1" grandRow="1" outline="0" fieldPosition="0"/>
    </format>
    <format dxfId="395">
      <pivotArea outline="0" collapsedLevelsAreSubtotals="1" fieldPosition="0"/>
    </format>
    <format dxfId="394">
      <pivotArea dataOnly="0" labelOnly="1" outline="0" axis="axisValues" fieldPosition="0"/>
    </format>
    <format dxfId="393">
      <pivotArea type="all" dataOnly="0" outline="0" fieldPosition="0"/>
    </format>
    <format dxfId="392">
      <pivotArea outline="0" collapsedLevelsAreSubtotals="1" fieldPosition="0"/>
    </format>
    <format dxfId="391">
      <pivotArea field="0" type="button" dataOnly="0" labelOnly="1" outline="0" axis="axisRow" fieldPosition="0"/>
    </format>
    <format dxfId="390">
      <pivotArea dataOnly="0" labelOnly="1" fieldPosition="0">
        <references count="1">
          <reference field="0" count="0"/>
        </references>
      </pivotArea>
    </format>
    <format dxfId="389">
      <pivotArea dataOnly="0" labelOnly="1" grandRow="1" outline="0" fieldPosition="0"/>
    </format>
    <format dxfId="388">
      <pivotArea dataOnly="0" labelOnly="1" outline="0" axis="axisValues" fieldPosition="0"/>
    </format>
    <format dxfId="387">
      <pivotArea outline="0" collapsedLevelsAreSubtotals="1" fieldPosition="0"/>
    </format>
    <format dxfId="3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CF6180-F58E-40D4-ABF9-56E536E14DF4}" name="P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tisfaction Level">
  <location ref="B13:C22" firstHeaderRow="1" firstDataRow="1" firstDataCol="1"/>
  <pivotFields count="8">
    <pivotField axis="axisRow" showAll="0">
      <items count="6">
        <item x="4"/>
        <item x="2"/>
        <item x="0"/>
        <item x="3"/>
        <item x="1"/>
        <item t="default"/>
      </items>
    </pivotField>
    <pivotField dataField="1" numFmtId="9" showAll="0">
      <items count="6">
        <item x="2"/>
        <item x="3"/>
        <item x="0"/>
        <item x="1"/>
        <item x="4"/>
        <item t="default"/>
      </items>
    </pivotField>
    <pivotField axis="axisRow" showAll="0">
      <items count="4">
        <item x="1"/>
        <item x="0"/>
        <item x="2"/>
        <item t="default"/>
      </items>
    </pivotField>
    <pivotField showAll="0"/>
    <pivotField showAll="0"/>
    <pivotField showAll="0"/>
    <pivotField showAll="0"/>
    <pivotField showAll="0">
      <items count="6">
        <item x="4"/>
        <item x="1"/>
        <item x="0"/>
        <item x="3"/>
        <item x="2"/>
        <item t="default"/>
      </items>
    </pivotField>
  </pivotFields>
  <rowFields count="2">
    <field x="2"/>
    <field x="0"/>
  </rowFields>
  <rowItems count="9">
    <i>
      <x/>
    </i>
    <i r="1">
      <x/>
    </i>
    <i r="1">
      <x v="4"/>
    </i>
    <i>
      <x v="1"/>
    </i>
    <i r="1">
      <x v="2"/>
    </i>
    <i r="1">
      <x v="3"/>
    </i>
    <i>
      <x v="2"/>
    </i>
    <i r="1">
      <x v="1"/>
    </i>
    <i t="grand">
      <x/>
    </i>
  </rowItems>
  <colItems count="1">
    <i/>
  </colItems>
  <dataFields count="1">
    <dataField name="Sum of Satisfaction Score" fld="1" baseField="0" baseItem="0" numFmtId="9"/>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HC___NHC" xr10:uid="{1668CBAE-C117-4EDC-9695-52849E3BE5F7}" sourceName="Category ( HC , NHC)">
  <pivotTables>
    <pivotTable tabId="10" name="PTable4"/>
  </pivotTables>
  <data>
    <tabular pivotCacheId="2286613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traind___Requires_Training" xr10:uid="{FAABA957-3BC0-4416-92DB-145EC04584F5}" sourceName="Category ( traind , Requires Training) ">
  <pivotTables>
    <pivotTable tabId="10" name="PTable4"/>
  </pivotTables>
  <data>
    <tabular pivotCacheId="2286613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B2D588C-38ED-461C-9FE7-09953B588A3C}" sourceName="Segment">
  <pivotTables>
    <pivotTable tabId="3" name="PTable3"/>
    <pivotTable tabId="2" name="PTable1"/>
    <pivotTable tabId="2" name="PTable2"/>
  </pivotTables>
  <data>
    <tabular pivotCacheId="1096412271">
      <items count="5">
        <i x="2" s="1"/>
        <i x="0" s="1"/>
        <i x="3"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C_Background" xr10:uid="{76F457A5-09B3-4502-96FC-819FD252F054}" sourceName="HC Background">
  <pivotTables>
    <pivotTable tabId="2" name="PTable1"/>
    <pivotTable tabId="2" name="PTable2"/>
    <pivotTable tabId="3" name="PTable3"/>
  </pivotTables>
  <data>
    <tabular pivotCacheId="109641227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_level" xr10:uid="{D974E217-DF96-464B-8215-9990B6512FAD}" sourceName="Satisfaction  level">
  <pivotTables>
    <pivotTable tabId="15" name="PTable5"/>
  </pivotTables>
  <data>
    <tabular pivotCacheId="271562166">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4F91BA31-21AF-4931-A809-A200B4400EB1}" sourceName="Priority ">
  <pivotTables>
    <pivotTable tabId="15" name="PTable5"/>
  </pivotTables>
  <data>
    <tabular pivotCacheId="271562166">
      <items count="5">
        <i x="4" s="1"/>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s" xr10:uid="{EEE11899-8B4D-4207-A958-3F3839CC1271}" sourceName="Segments ">
  <pivotTables>
    <pivotTable tabId="3" name="PTable4"/>
  </pivotTables>
  <data>
    <tabular pivotCacheId="131470391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HC , NHC)" xr10:uid="{0AD58D51-E870-4ABF-8680-7D306870A164}" cache="Slicer_Category___HC___NHC" caption="Category ( HC , NHC)" rowHeight="257175"/>
  <slicer name="Category ( traind , Requires Training) " xr10:uid="{25D336BA-2209-4FA5-AA4B-4EFA7BA571BF}" cache="Slicer_Category___traind___Requires_Training" caption="Category ( traind , Requires Training) " rowHeight="257175"/>
  <slicer name="Segment" xr10:uid="{C7713A83-D0EF-4844-BAA8-FC4784AC4FED}" cache="Slicer_Segment" caption="Segment" rowHeight="257175"/>
  <slicer name="HC Background" xr10:uid="{67931C60-FE99-4B7E-B354-7866907FACE8}" cache="Slicer_HC_Background" caption="HC Background" rowHeight="257175"/>
  <slicer name="Satisfaction  level" xr10:uid="{1236648C-DEC8-4B37-94AA-816F15075EE7}" cache="Slicer_Satisfaction__level" caption="Satisfaction  level" rowHeight="257175"/>
  <slicer name="Priority " xr10:uid="{DC23CD52-0925-4936-8F73-E2D7E7E67F9D}" cache="Slicer_Priority" caption="Priority " rowHeight="257175"/>
  <slicer name="Segments " xr10:uid="{D142B222-9833-4C32-9BDF-F2E733A22F32}" cache="Slicer_Segments" caption="Segments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23A8E0-19C6-4CCB-B65F-6616C84C8C38}" name="Table18" displayName="Table18" ref="A1:K501" totalsRowShown="0" headerRowDxfId="460" dataDxfId="459">
  <autoFilter ref="A1:K501" xr:uid="{E923A8E0-19C6-4CCB-B65F-6616C84C8C38}"/>
  <tableColumns count="11">
    <tableColumn id="1" xr3:uid="{B6DDB020-40DE-4FCB-8313-E51BF561248A}" name="Volunteer ID" dataDxfId="458"/>
    <tableColumn id="2" xr3:uid="{E5FDFDE3-F1A4-4F5B-AFD4-2359D0AA9946}" name="Age" dataDxfId="457"/>
    <tableColumn id="3" xr3:uid="{43B00598-7B43-44D6-9D23-ECC75F6572BC}" name="Career Status" dataDxfId="456"/>
    <tableColumn id="4" xr3:uid="{A41CFD76-882E-4176-9982-51E9C3AA8CEE}" name="Years of Work Experience" dataDxfId="455"/>
    <tableColumn id="5" xr3:uid="{FC14900B-E314-4365-96BD-70C12ED5E8C1}" name="Sector" dataDxfId="454"/>
    <tableColumn id="6" xr3:uid="{05F8E788-2775-4878-A420-D347D7BFBA31}" name="Average Monthly Hours" dataDxfId="453"/>
    <tableColumn id="7" xr3:uid="{B0C9BD1D-7CC4-4798-832D-06AF00546B34}" name="Has Training" dataDxfId="452"/>
    <tableColumn id="8" xr3:uid="{2AE11BF2-B8A8-466A-9D7E-86FB5E35D77F}" name="Marketing Outreach" dataDxfId="451"/>
    <tableColumn id="9" xr3:uid="{24B22892-137D-422B-B691-0EC0A381A0EA}" name="Satisfaction Score (%)" dataDxfId="450"/>
    <tableColumn id="10" xr3:uid="{51402F8C-7B1B-4710-A692-4376FF8E3A01}" name="Segment" dataDxfId="449">
      <calculatedColumnFormula>IF(C2="Student", "Students", IF(AND(C2="Employed", B2&gt;=22, B2&lt;=30), "Young Professionals", IF(AND(C2="Employed", B2&gt;=31, B2&lt;=55), "Mid-to-Late Career", IF(C2="Retired", "Retirees", "Homemakers"))))</calculatedColumnFormula>
    </tableColumn>
    <tableColumn id="11" xr3:uid="{B3239250-979B-4E8F-B4DF-6DDC6C67E9B8}" name="HC Background for Segments" dataDxfId="448">
      <calculatedColumnFormula>IF(E1="Healthcare &amp; Life Sciences", "HC", "NHC")</calculatedColumnFormula>
    </tableColumn>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0399B2-808F-47A9-80C8-4FAC1F78A023}" name="Table8" displayName="Table8" ref="B25:F30" totalsRowShown="0" headerRowDxfId="467" dataDxfId="466">
  <autoFilter ref="B25:F30" xr:uid="{970399B2-808F-47A9-80C8-4FAC1F78A023}"/>
  <tableColumns count="5">
    <tableColumn id="1" xr3:uid="{C261A3A3-98D7-460E-9291-CC7470970C46}" name="Segments " dataDxfId="465"/>
    <tableColumn id="4" xr3:uid="{E5FEE593-1940-4EE0-90C6-EEE7EC1E7710}" name="Outreach Type" dataDxfId="464"/>
    <tableColumn id="5" xr3:uid="{8E856C91-481E-4CB6-88C9-68DD7B8AB604}" name="Cost of Acquisition  (SAR)" dataDxfId="463" dataCellStyle="Currency"/>
    <tableColumn id="2" xr3:uid="{4762B29F-182E-4D65-8BB3-422943247ABE}" name="HC Cost of Acquisition" dataDxfId="462" dataCellStyle="Currency"/>
    <tableColumn id="3" xr3:uid="{CC9F92F3-662E-412E-BC70-CF3FBD14E38B}" name="NHC Cost of Acquisition" dataDxfId="461" dataCellStyle="Currency"/>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F0E731-A0FA-4803-B24E-BED5D8A4FB3F}" name="SCH_tbl" displayName="SCH_tbl" ref="C3:D503" totalsRowShown="0" headerRowDxfId="431" headerRowBorderDxfId="430" tableBorderDxfId="429">
  <autoFilter ref="C3:D503" xr:uid="{92F0E731-A0FA-4803-B24E-BED5D8A4FB3F}"/>
  <tableColumns count="2">
    <tableColumn id="1" xr3:uid="{C487BD18-4942-4C59-969C-DC0D7DDAA27C}" name="Sector" dataDxfId="428"/>
    <tableColumn id="2" xr3:uid="{CDB2F886-F26F-42C6-884A-C18F288FEEA7}" name="Average Monthly Hours" dataDxfId="4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2E336B-32CD-4529-9EF4-7004227A32D4}" name="RFH_tbl" displayName="RFH_tbl" ref="F3:I13" totalsRowShown="0" headerRowDxfId="426" headerRowBorderDxfId="425" tableBorderDxfId="424">
  <autoFilter ref="F3:I13" xr:uid="{662E336B-32CD-4529-9EF4-7004227A32D4}"/>
  <tableColumns count="4">
    <tableColumn id="1" xr3:uid="{6B1B3232-7CC7-455B-BCEA-AED656EF2960}" name=" Roles" dataDxfId="423"/>
    <tableColumn id="4" xr3:uid="{AF2D2580-82F3-4B0A-BAB2-F626C1BBC9F0}" name="Forecasted Monthly Hours Needed"/>
    <tableColumn id="5" xr3:uid="{68CD849A-8721-4731-980B-18D1E55F99B5}" name="Sector "/>
    <tableColumn id="2" xr3:uid="{2405616E-F03C-43C3-B2B1-070DBE4EFD50}" name="Column1"/>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9114AF-9463-4424-8F37-4D3476132558}" name="tbl3A" displayName="tbl3A" ref="B2:G12" totalsRowShown="0" headerRowDxfId="422" dataDxfId="420" headerRowBorderDxfId="421" tableBorderDxfId="419" totalsRowBorderDxfId="418">
  <autoFilter ref="B2:G12" xr:uid="{729114AF-9463-4424-8F37-4D3476132558}"/>
  <tableColumns count="6">
    <tableColumn id="1" xr3:uid="{059D0E0C-F0DE-454C-B707-89115887EA97}" name=" Roles" dataDxfId="417"/>
    <tableColumn id="2" xr3:uid="{C7D14F0B-01BF-4817-9E57-9EE5AB839A63}" name="Forecasted Monthly Hours" dataDxfId="416"/>
    <tableColumn id="3" xr3:uid="{5291BB66-9116-474E-8334-A217A8AB30C7}" name="Requires Healthcare Background" dataDxfId="415"/>
    <tableColumn id="4" xr3:uid="{936D89B8-11F7-418E-8769-8244C5514918}" name="Requires Training" dataDxfId="414"/>
    <tableColumn id="5" xr3:uid="{8CAEDBF4-0DDA-4330-9509-FD28619A02D6}" name="Category ( HC , NHC)" dataDxfId="413">
      <calculatedColumnFormula>IF(D3="Yes","Healthcare", "Non-Healthcare")</calculatedColumnFormula>
    </tableColumn>
    <tableColumn id="6" xr3:uid="{29FD100F-27E6-49EC-9964-437C7BF6B9B6}" name="Category ( traind , Requires Training) " dataDxfId="412">
      <calculatedColumnFormula>IF(E3= "Yes","RequiresTraining","Traind")</calculatedColumnFormula>
    </tableColumn>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F380B3-F756-4BD9-AF8F-38E09BCC80B7}" name="Table3" displayName="Table3" ref="C18:I28" totalsRowShown="0" headerRowDxfId="361" dataDxfId="360">
  <autoFilter ref="C18:I28" xr:uid="{9EF380B3-F756-4BD9-AF8F-38E09BCC80B7}"/>
  <tableColumns count="7">
    <tableColumn id="1" xr3:uid="{221321D2-288C-48B1-A365-D61CECF8BB61}" name="Sectors " dataDxfId="359"/>
    <tableColumn id="4" xr3:uid="{82927B0B-B7B7-4A70-81AD-18C4060BC502}" name="Category ( HC , NHC)" dataDxfId="358">
      <calculatedColumnFormula>IF(#REF!="Yes","Healthcare", "Non-Healthcare")</calculatedColumnFormula>
    </tableColumn>
    <tableColumn id="5" xr3:uid="{B9D8A1A8-34FE-4D8F-8711-CE6A26B54F9E}" name="Category ( traind , Requires Training) " dataDxfId="357">
      <calculatedColumnFormula>IF('[1]Forecasted Volunteer Hours'!E6= "Yes","RequiresTraining","Traind")</calculatedColumnFormula>
    </tableColumn>
    <tableColumn id="6" xr3:uid="{EB5387A4-BD45-4CBB-A468-4D07649924BC}" name="Current Hours " dataDxfId="356"/>
    <tableColumn id="7" xr3:uid="{E5256F69-453C-44B7-853E-05B48F0D4D14}" name="Gap" dataDxfId="355">
      <calculatedColumnFormula>B19-Table3[[#This Row],[Current Hours ]]</calculatedColumnFormula>
    </tableColumn>
    <tableColumn id="8" xr3:uid="{C1478A19-B48D-4793-BC46-946A5F660D66}" name="Sector Priority" dataDxfId="354">
      <calculatedColumnFormula>IF(G19&gt;1000, "High Shortage", IF(G19&gt;0, "Moderate Shortage", "Sufficient"))</calculatedColumnFormula>
    </tableColumn>
    <tableColumn id="2" xr3:uid="{2DE9F945-9D49-4F3C-BCEB-983D333BF1E8}" name="Rank " dataDxfId="353">
      <calculatedColumnFormula>_xlfn.RANK.EQ(Table3[[#This Row],[Gap]],Table3[[#All],[Gap]],0)</calculatedColumnFormula>
    </tableColumn>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9ACE26-0130-4CC3-8EA5-C9E196A7DB58}" name="Table2" displayName="Table2" ref="B4:I9" totalsRowShown="0" headerRowDxfId="352" dataDxfId="351">
  <autoFilter ref="B4:I9" xr:uid="{BE9ACE26-0130-4CC3-8EA5-C9E196A7DB58}"/>
  <tableColumns count="8">
    <tableColumn id="1" xr3:uid="{5B9CD9C5-43D1-4488-9201-E22B104958B2}" name="Segment" dataDxfId="350"/>
    <tableColumn id="8" xr3:uid="{F5827543-4101-424F-A03A-C5A04D5A5E7F}" name="Satisfaction Score" dataDxfId="349"/>
    <tableColumn id="2" xr3:uid="{FFDA7A36-4735-4326-91D7-4994243C68B4}" name="Satisfaction  level" dataDxfId="348">
      <calculatedColumnFormula>IF(C5&lt;=80%, "Low Satisfaction", IF(C5&gt;=90%," High Satisfaction", "Medium Satisfaction"))</calculatedColumnFormula>
    </tableColumn>
    <tableColumn id="3" xr3:uid="{B03165B6-AFC4-4656-9401-F7C5C253F18F}" name="Cost per Hour" dataDxfId="347"/>
    <tableColumn id="5" xr3:uid="{8804ADD4-F33C-457D-888D-FC4FF41F106A}" name="Average Hours" dataDxfId="346"/>
    <tableColumn id="6" xr3:uid="{3E9BFC19-72D1-48FD-A4E3-C7760C3C9179}" name="Pros" dataDxfId="345"/>
    <tableColumn id="7" xr3:uid="{9030C874-8B7C-448F-B410-90852F5E020E}" name="Cons" dataDxfId="344"/>
    <tableColumn id="4" xr3:uid="{936ABFB1-76D7-45BE-A41E-F9F3C991DFC5}" name="Priority " dataDxfId="343">
      <calculatedColumnFormula>_xlfn.RANK.EQ(Table2[[#This Row],[Satisfaction Score]],Table2[Satisfaction Score],0)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table" Target="../tables/table6.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0196-DFAF-48B0-ADEA-4D0AD8FE6B29}">
  <dimension ref="A1:K501"/>
  <sheetViews>
    <sheetView tabSelected="1" topLeftCell="D1" zoomScale="85" zoomScaleNormal="85" workbookViewId="0">
      <selection activeCell="J8" sqref="J8"/>
    </sheetView>
  </sheetViews>
  <sheetFormatPr defaultRowHeight="15" x14ac:dyDescent="0.25"/>
  <cols>
    <col min="1" max="1" width="13.42578125" customWidth="1"/>
    <col min="2" max="2" width="13" customWidth="1"/>
    <col min="3" max="3" width="23.7109375" customWidth="1"/>
    <col min="4" max="4" width="28" customWidth="1"/>
    <col min="5" max="5" width="42.28515625" customWidth="1"/>
    <col min="6" max="6" width="27.28515625" customWidth="1"/>
    <col min="7" max="7" width="20.7109375" customWidth="1"/>
    <col min="8" max="8" width="24.85546875" customWidth="1"/>
    <col min="9" max="9" width="24.42578125" customWidth="1"/>
    <col min="10" max="10" width="62.42578125" customWidth="1"/>
    <col min="11" max="11" width="26.140625" customWidth="1"/>
  </cols>
  <sheetData>
    <row r="1" spans="1:11" x14ac:dyDescent="0.25">
      <c r="A1" s="70" t="s">
        <v>77</v>
      </c>
      <c r="B1" s="70" t="s">
        <v>78</v>
      </c>
      <c r="C1" s="70" t="s">
        <v>45</v>
      </c>
      <c r="D1" s="70" t="s">
        <v>79</v>
      </c>
      <c r="E1" s="70" t="s">
        <v>3</v>
      </c>
      <c r="F1" s="70" t="s">
        <v>4</v>
      </c>
      <c r="G1" s="70" t="s">
        <v>46</v>
      </c>
      <c r="H1" s="70" t="s">
        <v>80</v>
      </c>
      <c r="I1" s="70" t="s">
        <v>81</v>
      </c>
      <c r="J1" s="72" t="s">
        <v>55</v>
      </c>
      <c r="K1" s="72" t="s">
        <v>617</v>
      </c>
    </row>
    <row r="2" spans="1:11" x14ac:dyDescent="0.25">
      <c r="A2" s="33" t="s">
        <v>82</v>
      </c>
      <c r="B2" s="33">
        <v>45</v>
      </c>
      <c r="C2" s="33" t="s">
        <v>42</v>
      </c>
      <c r="D2" s="33">
        <v>7</v>
      </c>
      <c r="E2" s="33" t="s">
        <v>8</v>
      </c>
      <c r="F2" s="33">
        <v>2</v>
      </c>
      <c r="G2" s="33" t="b">
        <v>0</v>
      </c>
      <c r="H2" s="33" t="s">
        <v>83</v>
      </c>
      <c r="I2" s="33">
        <v>71</v>
      </c>
      <c r="J2" s="33" t="str">
        <f t="shared" ref="J2:J65" si="0">IF(C2="Student", "Students", IF(AND(C2="Employed", B2&gt;=22, B2&lt;=30), "Young Professionals", IF(AND(C2="Employed", B2&gt;=31, B2&lt;=55), "Mid-to-Late Career", IF(C2="Retired", "Retirees", "Homemakers"))))</f>
        <v>Mid-to-Late Career</v>
      </c>
      <c r="K2" s="33" t="str">
        <f>IF(E1="Healthcare &amp; Life Sciences", "HC", "NHC")</f>
        <v>NHC</v>
      </c>
    </row>
    <row r="3" spans="1:11" x14ac:dyDescent="0.25">
      <c r="A3" s="33" t="s">
        <v>158</v>
      </c>
      <c r="B3" s="33">
        <v>19</v>
      </c>
      <c r="C3" s="33" t="s">
        <v>1</v>
      </c>
      <c r="D3" s="33">
        <v>1</v>
      </c>
      <c r="E3" s="33" t="s">
        <v>11</v>
      </c>
      <c r="F3" s="33">
        <v>3</v>
      </c>
      <c r="G3" s="33" t="b">
        <v>1</v>
      </c>
      <c r="H3" s="33" t="s">
        <v>159</v>
      </c>
      <c r="I3" s="33">
        <v>89</v>
      </c>
      <c r="J3" s="33" t="str">
        <f t="shared" si="0"/>
        <v>Students</v>
      </c>
      <c r="K3" s="33" t="str">
        <f t="shared" ref="K3:K65" si="1">IF(E2="Healthcare &amp; Life Sciences", "HC", "NHC")</f>
        <v>NHC</v>
      </c>
    </row>
    <row r="4" spans="1:11" x14ac:dyDescent="0.25">
      <c r="A4" s="33" t="s">
        <v>85</v>
      </c>
      <c r="B4" s="33">
        <v>42</v>
      </c>
      <c r="C4" s="33" t="s">
        <v>42</v>
      </c>
      <c r="D4" s="33">
        <v>14</v>
      </c>
      <c r="E4" s="33" t="s">
        <v>14</v>
      </c>
      <c r="F4" s="33">
        <v>1</v>
      </c>
      <c r="G4" s="33" t="b">
        <v>0</v>
      </c>
      <c r="H4" s="33" t="s">
        <v>83</v>
      </c>
      <c r="I4" s="33">
        <v>72</v>
      </c>
      <c r="J4" s="33" t="str">
        <f t="shared" si="0"/>
        <v>Mid-to-Late Career</v>
      </c>
      <c r="K4" s="33" t="str">
        <f t="shared" si="1"/>
        <v>HC</v>
      </c>
    </row>
    <row r="5" spans="1:11" x14ac:dyDescent="0.25">
      <c r="A5" s="33" t="s">
        <v>160</v>
      </c>
      <c r="B5" s="33">
        <v>18</v>
      </c>
      <c r="C5" s="33" t="s">
        <v>1</v>
      </c>
      <c r="D5" s="33">
        <v>0</v>
      </c>
      <c r="E5" s="33" t="s">
        <v>16</v>
      </c>
      <c r="F5" s="33">
        <v>6</v>
      </c>
      <c r="G5" s="33" t="b">
        <v>1</v>
      </c>
      <c r="H5" s="33" t="s">
        <v>159</v>
      </c>
      <c r="I5" s="33">
        <v>86</v>
      </c>
      <c r="J5" s="33" t="str">
        <f t="shared" si="0"/>
        <v>Students</v>
      </c>
      <c r="K5" s="33" t="str">
        <f t="shared" si="1"/>
        <v>NHC</v>
      </c>
    </row>
    <row r="6" spans="1:11" x14ac:dyDescent="0.25">
      <c r="A6" s="33" t="s">
        <v>161</v>
      </c>
      <c r="B6" s="33">
        <v>18</v>
      </c>
      <c r="C6" s="33" t="s">
        <v>1</v>
      </c>
      <c r="D6" s="33">
        <v>2</v>
      </c>
      <c r="E6" s="33" t="s">
        <v>11</v>
      </c>
      <c r="F6" s="33">
        <v>2</v>
      </c>
      <c r="G6" s="33" t="b">
        <v>1</v>
      </c>
      <c r="H6" s="33" t="s">
        <v>159</v>
      </c>
      <c r="I6" s="33">
        <v>88</v>
      </c>
      <c r="J6" s="33" t="str">
        <f t="shared" si="0"/>
        <v>Students</v>
      </c>
      <c r="K6" s="33" t="str">
        <f t="shared" si="1"/>
        <v>NHC</v>
      </c>
    </row>
    <row r="7" spans="1:11" x14ac:dyDescent="0.25">
      <c r="A7" s="33" t="s">
        <v>88</v>
      </c>
      <c r="B7" s="33">
        <v>34</v>
      </c>
      <c r="C7" s="33" t="s">
        <v>42</v>
      </c>
      <c r="D7" s="33">
        <v>13</v>
      </c>
      <c r="E7" s="33" t="s">
        <v>20</v>
      </c>
      <c r="F7" s="33">
        <v>0</v>
      </c>
      <c r="G7" s="33" t="b">
        <v>0</v>
      </c>
      <c r="H7" s="33" t="s">
        <v>83</v>
      </c>
      <c r="I7" s="33">
        <v>67</v>
      </c>
      <c r="J7" s="33" t="str">
        <f t="shared" si="0"/>
        <v>Mid-to-Late Career</v>
      </c>
      <c r="K7" s="33" t="str">
        <f t="shared" si="1"/>
        <v>HC</v>
      </c>
    </row>
    <row r="8" spans="1:11" x14ac:dyDescent="0.25">
      <c r="A8" s="33" t="s">
        <v>89</v>
      </c>
      <c r="B8" s="33">
        <v>31</v>
      </c>
      <c r="C8" s="33" t="s">
        <v>42</v>
      </c>
      <c r="D8" s="33">
        <v>15</v>
      </c>
      <c r="E8" s="33" t="s">
        <v>23</v>
      </c>
      <c r="F8" s="33">
        <v>0</v>
      </c>
      <c r="G8" s="33" t="b">
        <v>1</v>
      </c>
      <c r="H8" s="33" t="s">
        <v>83</v>
      </c>
      <c r="I8" s="33">
        <v>72</v>
      </c>
      <c r="J8" s="33" t="str">
        <f t="shared" si="0"/>
        <v>Mid-to-Late Career</v>
      </c>
      <c r="K8" s="33" t="str">
        <f t="shared" si="1"/>
        <v>NHC</v>
      </c>
    </row>
    <row r="9" spans="1:11" x14ac:dyDescent="0.25">
      <c r="A9" s="33" t="s">
        <v>162</v>
      </c>
      <c r="B9" s="33">
        <v>21</v>
      </c>
      <c r="C9" s="33" t="s">
        <v>1</v>
      </c>
      <c r="D9" s="33">
        <v>0</v>
      </c>
      <c r="E9" s="33" t="s">
        <v>11</v>
      </c>
      <c r="F9" s="33">
        <v>1</v>
      </c>
      <c r="G9" s="33" t="b">
        <v>1</v>
      </c>
      <c r="H9" s="33" t="s">
        <v>159</v>
      </c>
      <c r="I9" s="33">
        <v>89</v>
      </c>
      <c r="J9" s="33" t="str">
        <f t="shared" si="0"/>
        <v>Students</v>
      </c>
      <c r="K9" s="33" t="str">
        <f t="shared" si="1"/>
        <v>NHC</v>
      </c>
    </row>
    <row r="10" spans="1:11" x14ac:dyDescent="0.25">
      <c r="A10" s="33" t="s">
        <v>163</v>
      </c>
      <c r="B10" s="33">
        <v>20</v>
      </c>
      <c r="C10" s="33" t="s">
        <v>1</v>
      </c>
      <c r="D10" s="33">
        <v>1</v>
      </c>
      <c r="E10" s="33" t="s">
        <v>11</v>
      </c>
      <c r="F10" s="33">
        <v>3</v>
      </c>
      <c r="G10" s="33" t="b">
        <v>1</v>
      </c>
      <c r="H10" s="33" t="s">
        <v>159</v>
      </c>
      <c r="I10" s="33">
        <v>93</v>
      </c>
      <c r="J10" s="33" t="str">
        <f t="shared" si="0"/>
        <v>Students</v>
      </c>
      <c r="K10" s="33" t="str">
        <f t="shared" si="1"/>
        <v>HC</v>
      </c>
    </row>
    <row r="11" spans="1:11" x14ac:dyDescent="0.25">
      <c r="A11" s="33" t="s">
        <v>164</v>
      </c>
      <c r="B11" s="33">
        <v>64</v>
      </c>
      <c r="C11" s="33" t="s">
        <v>43</v>
      </c>
      <c r="D11" s="33">
        <v>20</v>
      </c>
      <c r="E11" s="33" t="s">
        <v>20</v>
      </c>
      <c r="F11" s="33">
        <v>4</v>
      </c>
      <c r="G11" s="33" t="b">
        <v>0</v>
      </c>
      <c r="H11" s="33" t="s">
        <v>165</v>
      </c>
      <c r="I11" s="33">
        <v>98</v>
      </c>
      <c r="J11" s="33" t="str">
        <f t="shared" si="0"/>
        <v>Homemakers</v>
      </c>
      <c r="K11" s="33" t="str">
        <f t="shared" si="1"/>
        <v>HC</v>
      </c>
    </row>
    <row r="12" spans="1:11" x14ac:dyDescent="0.25">
      <c r="A12" s="33" t="s">
        <v>166</v>
      </c>
      <c r="B12" s="33">
        <v>19</v>
      </c>
      <c r="C12" s="33" t="s">
        <v>1</v>
      </c>
      <c r="D12" s="33">
        <v>0</v>
      </c>
      <c r="E12" s="33" t="s">
        <v>11</v>
      </c>
      <c r="F12" s="33">
        <v>3</v>
      </c>
      <c r="G12" s="33" t="b">
        <v>1</v>
      </c>
      <c r="H12" s="33" t="s">
        <v>159</v>
      </c>
      <c r="I12" s="33">
        <v>91</v>
      </c>
      <c r="J12" s="33" t="str">
        <f t="shared" si="0"/>
        <v>Students</v>
      </c>
      <c r="K12" s="33" t="str">
        <f t="shared" si="1"/>
        <v>NHC</v>
      </c>
    </row>
    <row r="13" spans="1:11" x14ac:dyDescent="0.25">
      <c r="A13" s="33" t="s">
        <v>167</v>
      </c>
      <c r="B13" s="33">
        <v>20</v>
      </c>
      <c r="C13" s="33" t="s">
        <v>1</v>
      </c>
      <c r="D13" s="33">
        <v>1</v>
      </c>
      <c r="E13" s="33" t="s">
        <v>10</v>
      </c>
      <c r="F13" s="33">
        <v>5</v>
      </c>
      <c r="G13" s="33" t="b">
        <v>1</v>
      </c>
      <c r="H13" s="33" t="s">
        <v>159</v>
      </c>
      <c r="I13" s="33">
        <v>84</v>
      </c>
      <c r="J13" s="33" t="str">
        <f t="shared" si="0"/>
        <v>Students</v>
      </c>
      <c r="K13" s="33" t="str">
        <f t="shared" si="1"/>
        <v>HC</v>
      </c>
    </row>
    <row r="14" spans="1:11" x14ac:dyDescent="0.25">
      <c r="A14" s="33" t="s">
        <v>168</v>
      </c>
      <c r="B14" s="33">
        <v>61</v>
      </c>
      <c r="C14" s="33" t="s">
        <v>44</v>
      </c>
      <c r="D14" s="33">
        <v>33</v>
      </c>
      <c r="E14" s="33" t="s">
        <v>11</v>
      </c>
      <c r="F14" s="33">
        <v>5</v>
      </c>
      <c r="G14" s="33" t="b">
        <v>0</v>
      </c>
      <c r="H14" s="33" t="s">
        <v>165</v>
      </c>
      <c r="I14" s="33">
        <v>89</v>
      </c>
      <c r="J14" s="33" t="str">
        <f t="shared" si="0"/>
        <v>Retirees</v>
      </c>
      <c r="K14" s="33" t="str">
        <f t="shared" si="1"/>
        <v>NHC</v>
      </c>
    </row>
    <row r="15" spans="1:11" x14ac:dyDescent="0.25">
      <c r="A15" s="33" t="s">
        <v>169</v>
      </c>
      <c r="B15" s="33">
        <v>19</v>
      </c>
      <c r="C15" s="33" t="s">
        <v>1</v>
      </c>
      <c r="D15" s="33">
        <v>0</v>
      </c>
      <c r="E15" s="33" t="s">
        <v>11</v>
      </c>
      <c r="F15" s="33">
        <v>2</v>
      </c>
      <c r="G15" s="33" t="b">
        <v>1</v>
      </c>
      <c r="H15" s="33" t="s">
        <v>159</v>
      </c>
      <c r="I15" s="33">
        <v>87</v>
      </c>
      <c r="J15" s="33" t="str">
        <f t="shared" si="0"/>
        <v>Students</v>
      </c>
      <c r="K15" s="33" t="str">
        <f t="shared" si="1"/>
        <v>HC</v>
      </c>
    </row>
    <row r="16" spans="1:11" x14ac:dyDescent="0.25">
      <c r="A16" s="33" t="s">
        <v>97</v>
      </c>
      <c r="B16" s="33">
        <v>48</v>
      </c>
      <c r="C16" s="33" t="s">
        <v>42</v>
      </c>
      <c r="D16" s="33">
        <v>17</v>
      </c>
      <c r="E16" s="33" t="s">
        <v>20</v>
      </c>
      <c r="F16" s="33">
        <v>0</v>
      </c>
      <c r="G16" s="33" t="b">
        <v>0</v>
      </c>
      <c r="H16" s="33" t="s">
        <v>83</v>
      </c>
      <c r="I16" s="33">
        <v>67</v>
      </c>
      <c r="J16" s="33" t="str">
        <f t="shared" si="0"/>
        <v>Mid-to-Late Career</v>
      </c>
      <c r="K16" s="33" t="str">
        <f t="shared" si="1"/>
        <v>HC</v>
      </c>
    </row>
    <row r="17" spans="1:11" x14ac:dyDescent="0.25">
      <c r="A17" s="33" t="s">
        <v>98</v>
      </c>
      <c r="B17" s="33">
        <v>50</v>
      </c>
      <c r="C17" s="33" t="s">
        <v>42</v>
      </c>
      <c r="D17" s="33">
        <v>19</v>
      </c>
      <c r="E17" s="33" t="s">
        <v>10</v>
      </c>
      <c r="F17" s="33">
        <v>2</v>
      </c>
      <c r="G17" s="33" t="b">
        <v>0</v>
      </c>
      <c r="H17" s="33" t="s">
        <v>83</v>
      </c>
      <c r="I17" s="33">
        <v>68</v>
      </c>
      <c r="J17" s="33" t="str">
        <f t="shared" si="0"/>
        <v>Mid-to-Late Career</v>
      </c>
      <c r="K17" s="33" t="str">
        <f t="shared" si="1"/>
        <v>NHC</v>
      </c>
    </row>
    <row r="18" spans="1:11" x14ac:dyDescent="0.25">
      <c r="A18" s="33" t="s">
        <v>170</v>
      </c>
      <c r="B18" s="33">
        <v>36</v>
      </c>
      <c r="C18" s="33" t="s">
        <v>43</v>
      </c>
      <c r="D18" s="33">
        <v>2</v>
      </c>
      <c r="E18" s="33" t="s">
        <v>20</v>
      </c>
      <c r="F18" s="33">
        <v>5</v>
      </c>
      <c r="G18" s="33" t="b">
        <v>0</v>
      </c>
      <c r="H18" s="33" t="s">
        <v>165</v>
      </c>
      <c r="I18" s="33">
        <v>95</v>
      </c>
      <c r="J18" s="33" t="str">
        <f t="shared" si="0"/>
        <v>Homemakers</v>
      </c>
      <c r="K18" s="33" t="str">
        <f t="shared" si="1"/>
        <v>NHC</v>
      </c>
    </row>
    <row r="19" spans="1:11" x14ac:dyDescent="0.25">
      <c r="A19" s="33" t="s">
        <v>171</v>
      </c>
      <c r="B19" s="33">
        <v>19</v>
      </c>
      <c r="C19" s="33" t="s">
        <v>1</v>
      </c>
      <c r="D19" s="33">
        <v>1</v>
      </c>
      <c r="E19" s="33" t="s">
        <v>11</v>
      </c>
      <c r="F19" s="33">
        <v>3</v>
      </c>
      <c r="G19" s="33" t="b">
        <v>1</v>
      </c>
      <c r="H19" s="33" t="s">
        <v>159</v>
      </c>
      <c r="I19" s="33">
        <v>93</v>
      </c>
      <c r="J19" s="33" t="str">
        <f t="shared" si="0"/>
        <v>Students</v>
      </c>
      <c r="K19" s="33" t="str">
        <f t="shared" si="1"/>
        <v>NHC</v>
      </c>
    </row>
    <row r="20" spans="1:11" x14ac:dyDescent="0.25">
      <c r="A20" s="33" t="s">
        <v>172</v>
      </c>
      <c r="B20" s="33">
        <v>28</v>
      </c>
      <c r="C20" s="33" t="s">
        <v>42</v>
      </c>
      <c r="D20" s="33">
        <v>3</v>
      </c>
      <c r="E20" s="33" t="s">
        <v>8</v>
      </c>
      <c r="F20" s="33">
        <v>2</v>
      </c>
      <c r="G20" s="33" t="b">
        <v>0</v>
      </c>
      <c r="H20" s="33" t="s">
        <v>83</v>
      </c>
      <c r="I20" s="33">
        <v>94</v>
      </c>
      <c r="J20" s="33" t="str">
        <f t="shared" si="0"/>
        <v>Young Professionals</v>
      </c>
      <c r="K20" s="33" t="str">
        <f t="shared" si="1"/>
        <v>HC</v>
      </c>
    </row>
    <row r="21" spans="1:11" x14ac:dyDescent="0.25">
      <c r="A21" s="33" t="s">
        <v>173</v>
      </c>
      <c r="B21" s="33">
        <v>58</v>
      </c>
      <c r="C21" s="33" t="s">
        <v>44</v>
      </c>
      <c r="D21" s="33">
        <v>40</v>
      </c>
      <c r="E21" s="33" t="s">
        <v>11</v>
      </c>
      <c r="F21" s="33">
        <v>5</v>
      </c>
      <c r="G21" s="33" t="b">
        <v>0</v>
      </c>
      <c r="H21" s="33" t="s">
        <v>165</v>
      </c>
      <c r="I21" s="33">
        <v>87</v>
      </c>
      <c r="J21" s="33" t="str">
        <f t="shared" si="0"/>
        <v>Retirees</v>
      </c>
      <c r="K21" s="33" t="str">
        <f t="shared" si="1"/>
        <v>NHC</v>
      </c>
    </row>
    <row r="22" spans="1:11" x14ac:dyDescent="0.25">
      <c r="A22" s="33" t="s">
        <v>174</v>
      </c>
      <c r="B22" s="33">
        <v>46</v>
      </c>
      <c r="C22" s="33" t="s">
        <v>43</v>
      </c>
      <c r="D22" s="33">
        <v>20</v>
      </c>
      <c r="E22" s="33" t="s">
        <v>10</v>
      </c>
      <c r="F22" s="33">
        <v>3</v>
      </c>
      <c r="G22" s="33" t="b">
        <v>0</v>
      </c>
      <c r="H22" s="33" t="s">
        <v>165</v>
      </c>
      <c r="I22" s="33">
        <v>97</v>
      </c>
      <c r="J22" s="33" t="str">
        <f t="shared" si="0"/>
        <v>Homemakers</v>
      </c>
      <c r="K22" s="33" t="str">
        <f t="shared" si="1"/>
        <v>HC</v>
      </c>
    </row>
    <row r="23" spans="1:11" x14ac:dyDescent="0.25">
      <c r="A23" s="33" t="s">
        <v>175</v>
      </c>
      <c r="B23" s="33">
        <v>35</v>
      </c>
      <c r="C23" s="33" t="s">
        <v>43</v>
      </c>
      <c r="D23" s="33">
        <v>18</v>
      </c>
      <c r="E23" s="33" t="s">
        <v>18</v>
      </c>
      <c r="F23" s="33">
        <v>4</v>
      </c>
      <c r="G23" s="33" t="b">
        <v>1</v>
      </c>
      <c r="H23" s="33" t="s">
        <v>165</v>
      </c>
      <c r="I23" s="33">
        <v>93</v>
      </c>
      <c r="J23" s="33" t="str">
        <f t="shared" si="0"/>
        <v>Homemakers</v>
      </c>
      <c r="K23" s="33" t="str">
        <f t="shared" si="1"/>
        <v>NHC</v>
      </c>
    </row>
    <row r="24" spans="1:11" x14ac:dyDescent="0.25">
      <c r="A24" s="33" t="s">
        <v>176</v>
      </c>
      <c r="B24" s="33">
        <v>26</v>
      </c>
      <c r="C24" s="33" t="s">
        <v>42</v>
      </c>
      <c r="D24" s="33">
        <v>4</v>
      </c>
      <c r="E24" s="33" t="s">
        <v>18</v>
      </c>
      <c r="F24" s="33">
        <v>0</v>
      </c>
      <c r="G24" s="33" t="b">
        <v>0</v>
      </c>
      <c r="H24" s="33" t="s">
        <v>83</v>
      </c>
      <c r="I24" s="33">
        <v>90</v>
      </c>
      <c r="J24" s="33" t="str">
        <f t="shared" si="0"/>
        <v>Young Professionals</v>
      </c>
      <c r="K24" s="33" t="str">
        <f t="shared" si="1"/>
        <v>NHC</v>
      </c>
    </row>
    <row r="25" spans="1:11" x14ac:dyDescent="0.25">
      <c r="A25" s="33" t="s">
        <v>106</v>
      </c>
      <c r="B25" s="33">
        <v>50</v>
      </c>
      <c r="C25" s="33" t="s">
        <v>42</v>
      </c>
      <c r="D25" s="33">
        <v>21</v>
      </c>
      <c r="E25" s="33" t="s">
        <v>10</v>
      </c>
      <c r="F25" s="33">
        <v>2</v>
      </c>
      <c r="G25" s="33" t="b">
        <v>0</v>
      </c>
      <c r="H25" s="33" t="s">
        <v>83</v>
      </c>
      <c r="I25" s="33">
        <v>69</v>
      </c>
      <c r="J25" s="33" t="str">
        <f t="shared" si="0"/>
        <v>Mid-to-Late Career</v>
      </c>
      <c r="K25" s="33" t="str">
        <f t="shared" si="1"/>
        <v>NHC</v>
      </c>
    </row>
    <row r="26" spans="1:11" x14ac:dyDescent="0.25">
      <c r="A26" s="33" t="s">
        <v>177</v>
      </c>
      <c r="B26" s="33">
        <v>18</v>
      </c>
      <c r="C26" s="33" t="s">
        <v>1</v>
      </c>
      <c r="D26" s="33">
        <v>2</v>
      </c>
      <c r="E26" s="33" t="s">
        <v>11</v>
      </c>
      <c r="F26" s="33">
        <v>2</v>
      </c>
      <c r="G26" s="33" t="b">
        <v>1</v>
      </c>
      <c r="H26" s="33" t="s">
        <v>159</v>
      </c>
      <c r="I26" s="33">
        <v>93</v>
      </c>
      <c r="J26" s="33" t="str">
        <f t="shared" si="0"/>
        <v>Students</v>
      </c>
      <c r="K26" s="33" t="str">
        <f t="shared" si="1"/>
        <v>NHC</v>
      </c>
    </row>
    <row r="27" spans="1:11" x14ac:dyDescent="0.25">
      <c r="A27" s="33" t="s">
        <v>178</v>
      </c>
      <c r="B27" s="33">
        <v>31</v>
      </c>
      <c r="C27" s="33" t="s">
        <v>43</v>
      </c>
      <c r="D27" s="33">
        <v>4</v>
      </c>
      <c r="E27" s="33" t="s">
        <v>10</v>
      </c>
      <c r="F27" s="33">
        <v>4</v>
      </c>
      <c r="G27" s="33" t="b">
        <v>0</v>
      </c>
      <c r="H27" s="33" t="s">
        <v>165</v>
      </c>
      <c r="I27" s="33">
        <v>98</v>
      </c>
      <c r="J27" s="33" t="str">
        <f t="shared" si="0"/>
        <v>Homemakers</v>
      </c>
      <c r="K27" s="33" t="str">
        <f t="shared" si="1"/>
        <v>HC</v>
      </c>
    </row>
    <row r="28" spans="1:11" x14ac:dyDescent="0.25">
      <c r="A28" s="33" t="s">
        <v>179</v>
      </c>
      <c r="B28" s="33">
        <v>42</v>
      </c>
      <c r="C28" s="33" t="s">
        <v>43</v>
      </c>
      <c r="D28" s="33">
        <v>14</v>
      </c>
      <c r="E28" s="33" t="s">
        <v>23</v>
      </c>
      <c r="F28" s="33">
        <v>3</v>
      </c>
      <c r="G28" s="33" t="b">
        <v>0</v>
      </c>
      <c r="H28" s="33" t="s">
        <v>165</v>
      </c>
      <c r="I28" s="33">
        <v>93</v>
      </c>
      <c r="J28" s="33" t="str">
        <f t="shared" si="0"/>
        <v>Homemakers</v>
      </c>
      <c r="K28" s="33" t="str">
        <f t="shared" si="1"/>
        <v>NHC</v>
      </c>
    </row>
    <row r="29" spans="1:11" x14ac:dyDescent="0.25">
      <c r="A29" s="33" t="s">
        <v>180</v>
      </c>
      <c r="B29" s="33">
        <v>27</v>
      </c>
      <c r="C29" s="33" t="s">
        <v>42</v>
      </c>
      <c r="D29" s="33">
        <v>0</v>
      </c>
      <c r="E29" s="33" t="s">
        <v>11</v>
      </c>
      <c r="F29" s="33">
        <v>4</v>
      </c>
      <c r="G29" s="33" t="b">
        <v>0</v>
      </c>
      <c r="H29" s="33" t="s">
        <v>83</v>
      </c>
      <c r="I29" s="33">
        <v>91</v>
      </c>
      <c r="J29" s="33" t="str">
        <f t="shared" si="0"/>
        <v>Young Professionals</v>
      </c>
      <c r="K29" s="33" t="str">
        <f t="shared" si="1"/>
        <v>NHC</v>
      </c>
    </row>
    <row r="30" spans="1:11" x14ac:dyDescent="0.25">
      <c r="A30" s="33" t="s">
        <v>181</v>
      </c>
      <c r="B30" s="33">
        <v>20</v>
      </c>
      <c r="C30" s="33" t="s">
        <v>1</v>
      </c>
      <c r="D30" s="33">
        <v>2</v>
      </c>
      <c r="E30" s="33" t="s">
        <v>11</v>
      </c>
      <c r="F30" s="33">
        <v>2</v>
      </c>
      <c r="G30" s="33" t="b">
        <v>1</v>
      </c>
      <c r="H30" s="33" t="s">
        <v>159</v>
      </c>
      <c r="I30" s="33">
        <v>91</v>
      </c>
      <c r="J30" s="33" t="str">
        <f t="shared" si="0"/>
        <v>Students</v>
      </c>
      <c r="K30" s="33" t="str">
        <f t="shared" si="1"/>
        <v>HC</v>
      </c>
    </row>
    <row r="31" spans="1:11" x14ac:dyDescent="0.25">
      <c r="A31" s="33" t="s">
        <v>112</v>
      </c>
      <c r="B31" s="33">
        <v>34</v>
      </c>
      <c r="C31" s="33" t="s">
        <v>42</v>
      </c>
      <c r="D31" s="33">
        <v>18</v>
      </c>
      <c r="E31" s="33" t="s">
        <v>11</v>
      </c>
      <c r="F31" s="33">
        <v>3</v>
      </c>
      <c r="G31" s="33" t="b">
        <v>0</v>
      </c>
      <c r="H31" s="33" t="s">
        <v>83</v>
      </c>
      <c r="I31" s="33">
        <v>84</v>
      </c>
      <c r="J31" s="33" t="str">
        <f t="shared" si="0"/>
        <v>Mid-to-Late Career</v>
      </c>
      <c r="K31" s="33" t="str">
        <f t="shared" si="1"/>
        <v>HC</v>
      </c>
    </row>
    <row r="32" spans="1:11" x14ac:dyDescent="0.25">
      <c r="A32" s="33" t="s">
        <v>182</v>
      </c>
      <c r="B32" s="33">
        <v>23</v>
      </c>
      <c r="C32" s="33" t="s">
        <v>43</v>
      </c>
      <c r="D32" s="33">
        <v>6</v>
      </c>
      <c r="E32" s="33" t="s">
        <v>20</v>
      </c>
      <c r="F32" s="33">
        <v>4</v>
      </c>
      <c r="G32" s="33" t="b">
        <v>0</v>
      </c>
      <c r="H32" s="33" t="s">
        <v>165</v>
      </c>
      <c r="I32" s="33">
        <v>94</v>
      </c>
      <c r="J32" s="33" t="str">
        <f t="shared" si="0"/>
        <v>Homemakers</v>
      </c>
      <c r="K32" s="33" t="str">
        <f t="shared" si="1"/>
        <v>HC</v>
      </c>
    </row>
    <row r="33" spans="1:11" x14ac:dyDescent="0.25">
      <c r="A33" s="33" t="s">
        <v>114</v>
      </c>
      <c r="B33" s="33">
        <v>31</v>
      </c>
      <c r="C33" s="33" t="s">
        <v>42</v>
      </c>
      <c r="D33" s="33">
        <v>6</v>
      </c>
      <c r="E33" s="33" t="s">
        <v>11</v>
      </c>
      <c r="F33" s="33">
        <v>2</v>
      </c>
      <c r="G33" s="33" t="b">
        <v>0</v>
      </c>
      <c r="H33" s="33" t="s">
        <v>83</v>
      </c>
      <c r="I33" s="33">
        <v>88</v>
      </c>
      <c r="J33" s="33" t="str">
        <f t="shared" si="0"/>
        <v>Mid-to-Late Career</v>
      </c>
      <c r="K33" s="33" t="str">
        <f t="shared" si="1"/>
        <v>NHC</v>
      </c>
    </row>
    <row r="34" spans="1:11" x14ac:dyDescent="0.25">
      <c r="A34" s="33" t="s">
        <v>183</v>
      </c>
      <c r="B34" s="33">
        <v>57</v>
      </c>
      <c r="C34" s="33" t="s">
        <v>43</v>
      </c>
      <c r="D34" s="33">
        <v>39</v>
      </c>
      <c r="E34" s="33" t="s">
        <v>23</v>
      </c>
      <c r="F34" s="33">
        <v>3</v>
      </c>
      <c r="G34" s="33" t="b">
        <v>0</v>
      </c>
      <c r="H34" s="33" t="s">
        <v>165</v>
      </c>
      <c r="I34" s="33">
        <v>93</v>
      </c>
      <c r="J34" s="33" t="str">
        <f t="shared" si="0"/>
        <v>Homemakers</v>
      </c>
      <c r="K34" s="33" t="str">
        <f t="shared" si="1"/>
        <v>HC</v>
      </c>
    </row>
    <row r="35" spans="1:11" x14ac:dyDescent="0.25">
      <c r="A35" s="33" t="s">
        <v>184</v>
      </c>
      <c r="B35" s="33">
        <v>20</v>
      </c>
      <c r="C35" s="33" t="s">
        <v>1</v>
      </c>
      <c r="D35" s="33">
        <v>2</v>
      </c>
      <c r="E35" s="33" t="s">
        <v>20</v>
      </c>
      <c r="F35" s="33">
        <v>6</v>
      </c>
      <c r="G35" s="33" t="b">
        <v>1</v>
      </c>
      <c r="H35" s="33" t="s">
        <v>159</v>
      </c>
      <c r="I35" s="33">
        <v>88</v>
      </c>
      <c r="J35" s="33" t="str">
        <f t="shared" si="0"/>
        <v>Students</v>
      </c>
      <c r="K35" s="33" t="str">
        <f t="shared" si="1"/>
        <v>NHC</v>
      </c>
    </row>
    <row r="36" spans="1:11" x14ac:dyDescent="0.25">
      <c r="A36" s="33" t="s">
        <v>185</v>
      </c>
      <c r="B36" s="33">
        <v>18</v>
      </c>
      <c r="C36" s="33" t="s">
        <v>1</v>
      </c>
      <c r="D36" s="33">
        <v>2</v>
      </c>
      <c r="E36" s="33" t="s">
        <v>11</v>
      </c>
      <c r="F36" s="33">
        <v>5</v>
      </c>
      <c r="G36" s="33" t="b">
        <v>1</v>
      </c>
      <c r="H36" s="33" t="s">
        <v>159</v>
      </c>
      <c r="I36" s="33">
        <v>89</v>
      </c>
      <c r="J36" s="33" t="str">
        <f t="shared" si="0"/>
        <v>Students</v>
      </c>
      <c r="K36" s="33" t="str">
        <f t="shared" si="1"/>
        <v>NHC</v>
      </c>
    </row>
    <row r="37" spans="1:11" x14ac:dyDescent="0.25">
      <c r="A37" s="33" t="s">
        <v>118</v>
      </c>
      <c r="B37" s="33">
        <v>54</v>
      </c>
      <c r="C37" s="33" t="s">
        <v>42</v>
      </c>
      <c r="D37" s="33">
        <v>8</v>
      </c>
      <c r="E37" s="33" t="s">
        <v>11</v>
      </c>
      <c r="F37" s="33">
        <v>2</v>
      </c>
      <c r="G37" s="33" t="b">
        <v>0</v>
      </c>
      <c r="H37" s="33" t="s">
        <v>83</v>
      </c>
      <c r="I37" s="33">
        <v>88</v>
      </c>
      <c r="J37" s="33" t="str">
        <f t="shared" si="0"/>
        <v>Mid-to-Late Career</v>
      </c>
      <c r="K37" s="33" t="str">
        <f t="shared" si="1"/>
        <v>HC</v>
      </c>
    </row>
    <row r="38" spans="1:11" x14ac:dyDescent="0.25">
      <c r="A38" s="33" t="s">
        <v>186</v>
      </c>
      <c r="B38" s="33">
        <v>67</v>
      </c>
      <c r="C38" s="33" t="s">
        <v>44</v>
      </c>
      <c r="D38" s="33">
        <v>28</v>
      </c>
      <c r="E38" s="33" t="s">
        <v>11</v>
      </c>
      <c r="F38" s="33">
        <v>7</v>
      </c>
      <c r="G38" s="33" t="b">
        <v>0</v>
      </c>
      <c r="H38" s="33" t="s">
        <v>165</v>
      </c>
      <c r="I38" s="33">
        <v>86</v>
      </c>
      <c r="J38" s="33" t="str">
        <f t="shared" si="0"/>
        <v>Retirees</v>
      </c>
      <c r="K38" s="33" t="str">
        <f t="shared" si="1"/>
        <v>HC</v>
      </c>
    </row>
    <row r="39" spans="1:11" x14ac:dyDescent="0.25">
      <c r="A39" s="33" t="s">
        <v>187</v>
      </c>
      <c r="B39" s="33">
        <v>18</v>
      </c>
      <c r="C39" s="33" t="s">
        <v>1</v>
      </c>
      <c r="D39" s="33">
        <v>0</v>
      </c>
      <c r="E39" s="33" t="s">
        <v>11</v>
      </c>
      <c r="F39" s="33">
        <v>5</v>
      </c>
      <c r="G39" s="33" t="b">
        <v>1</v>
      </c>
      <c r="H39" s="33" t="s">
        <v>159</v>
      </c>
      <c r="I39" s="33">
        <v>89</v>
      </c>
      <c r="J39" s="33" t="str">
        <f t="shared" si="0"/>
        <v>Students</v>
      </c>
      <c r="K39" s="33" t="str">
        <f t="shared" si="1"/>
        <v>HC</v>
      </c>
    </row>
    <row r="40" spans="1:11" x14ac:dyDescent="0.25">
      <c r="A40" s="33" t="s">
        <v>188</v>
      </c>
      <c r="B40" s="33">
        <v>23</v>
      </c>
      <c r="C40" s="33" t="s">
        <v>42</v>
      </c>
      <c r="D40" s="33">
        <v>4</v>
      </c>
      <c r="E40" s="33" t="s">
        <v>11</v>
      </c>
      <c r="F40" s="33">
        <v>2</v>
      </c>
      <c r="G40" s="33" t="b">
        <v>0</v>
      </c>
      <c r="H40" s="33" t="s">
        <v>83</v>
      </c>
      <c r="I40" s="33">
        <v>90</v>
      </c>
      <c r="J40" s="33" t="str">
        <f t="shared" si="0"/>
        <v>Young Professionals</v>
      </c>
      <c r="K40" s="33" t="str">
        <f t="shared" si="1"/>
        <v>HC</v>
      </c>
    </row>
    <row r="41" spans="1:11" x14ac:dyDescent="0.25">
      <c r="A41" s="33" t="s">
        <v>189</v>
      </c>
      <c r="B41" s="33">
        <v>20</v>
      </c>
      <c r="C41" s="33" t="s">
        <v>1</v>
      </c>
      <c r="D41" s="33">
        <v>2</v>
      </c>
      <c r="E41" s="33" t="s">
        <v>11</v>
      </c>
      <c r="F41" s="33">
        <v>4</v>
      </c>
      <c r="G41" s="33" t="b">
        <v>1</v>
      </c>
      <c r="H41" s="33" t="s">
        <v>159</v>
      </c>
      <c r="I41" s="33">
        <v>88</v>
      </c>
      <c r="J41" s="33" t="str">
        <f t="shared" si="0"/>
        <v>Students</v>
      </c>
      <c r="K41" s="33" t="str">
        <f t="shared" si="1"/>
        <v>HC</v>
      </c>
    </row>
    <row r="42" spans="1:11" x14ac:dyDescent="0.25">
      <c r="A42" s="33" t="s">
        <v>123</v>
      </c>
      <c r="B42" s="33">
        <v>48</v>
      </c>
      <c r="C42" s="33" t="s">
        <v>42</v>
      </c>
      <c r="D42" s="33">
        <v>10</v>
      </c>
      <c r="E42" s="33" t="s">
        <v>14</v>
      </c>
      <c r="F42" s="33">
        <v>1</v>
      </c>
      <c r="G42" s="33" t="b">
        <v>0</v>
      </c>
      <c r="H42" s="33" t="s">
        <v>83</v>
      </c>
      <c r="I42" s="33">
        <v>72</v>
      </c>
      <c r="J42" s="33" t="str">
        <f t="shared" si="0"/>
        <v>Mid-to-Late Career</v>
      </c>
      <c r="K42" s="33" t="str">
        <f t="shared" si="1"/>
        <v>HC</v>
      </c>
    </row>
    <row r="43" spans="1:11" x14ac:dyDescent="0.25">
      <c r="A43" s="33" t="s">
        <v>190</v>
      </c>
      <c r="B43" s="33">
        <v>19</v>
      </c>
      <c r="C43" s="33" t="s">
        <v>1</v>
      </c>
      <c r="D43" s="33">
        <v>1</v>
      </c>
      <c r="E43" s="33" t="s">
        <v>11</v>
      </c>
      <c r="F43" s="33">
        <v>5</v>
      </c>
      <c r="G43" s="33" t="b">
        <v>1</v>
      </c>
      <c r="H43" s="33" t="s">
        <v>159</v>
      </c>
      <c r="I43" s="33">
        <v>93</v>
      </c>
      <c r="J43" s="33" t="str">
        <f t="shared" si="0"/>
        <v>Students</v>
      </c>
      <c r="K43" s="33" t="str">
        <f t="shared" si="1"/>
        <v>NHC</v>
      </c>
    </row>
    <row r="44" spans="1:11" x14ac:dyDescent="0.25">
      <c r="A44" s="33" t="s">
        <v>191</v>
      </c>
      <c r="B44" s="33">
        <v>56</v>
      </c>
      <c r="C44" s="33" t="s">
        <v>43</v>
      </c>
      <c r="D44" s="33">
        <v>9</v>
      </c>
      <c r="E44" s="33" t="s">
        <v>20</v>
      </c>
      <c r="F44" s="33">
        <v>3</v>
      </c>
      <c r="G44" s="33" t="b">
        <v>0</v>
      </c>
      <c r="H44" s="33" t="s">
        <v>165</v>
      </c>
      <c r="I44" s="33">
        <v>96</v>
      </c>
      <c r="J44" s="33" t="str">
        <f t="shared" si="0"/>
        <v>Homemakers</v>
      </c>
      <c r="K44" s="33" t="str">
        <f t="shared" si="1"/>
        <v>HC</v>
      </c>
    </row>
    <row r="45" spans="1:11" x14ac:dyDescent="0.25">
      <c r="A45" s="33" t="s">
        <v>192</v>
      </c>
      <c r="B45" s="33">
        <v>18</v>
      </c>
      <c r="C45" s="33" t="s">
        <v>1</v>
      </c>
      <c r="D45" s="33">
        <v>1</v>
      </c>
      <c r="E45" s="33" t="s">
        <v>8</v>
      </c>
      <c r="F45" s="33">
        <v>6</v>
      </c>
      <c r="G45" s="33" t="b">
        <v>1</v>
      </c>
      <c r="H45" s="33" t="s">
        <v>159</v>
      </c>
      <c r="I45" s="33">
        <v>84</v>
      </c>
      <c r="J45" s="33" t="str">
        <f t="shared" si="0"/>
        <v>Students</v>
      </c>
      <c r="K45" s="33" t="str">
        <f t="shared" si="1"/>
        <v>NHC</v>
      </c>
    </row>
    <row r="46" spans="1:11" x14ac:dyDescent="0.25">
      <c r="A46" s="33" t="s">
        <v>193</v>
      </c>
      <c r="B46" s="33">
        <v>20</v>
      </c>
      <c r="C46" s="33" t="s">
        <v>1</v>
      </c>
      <c r="D46" s="33">
        <v>0</v>
      </c>
      <c r="E46" s="33" t="s">
        <v>11</v>
      </c>
      <c r="F46" s="33">
        <v>4</v>
      </c>
      <c r="G46" s="33" t="b">
        <v>1</v>
      </c>
      <c r="H46" s="33" t="s">
        <v>159</v>
      </c>
      <c r="I46" s="33">
        <v>92</v>
      </c>
      <c r="J46" s="33" t="str">
        <f t="shared" si="0"/>
        <v>Students</v>
      </c>
      <c r="K46" s="33" t="str">
        <f t="shared" si="1"/>
        <v>NHC</v>
      </c>
    </row>
    <row r="47" spans="1:11" x14ac:dyDescent="0.25">
      <c r="A47" s="33" t="s">
        <v>194</v>
      </c>
      <c r="B47" s="33">
        <v>18</v>
      </c>
      <c r="C47" s="33" t="s">
        <v>1</v>
      </c>
      <c r="D47" s="33">
        <v>0</v>
      </c>
      <c r="E47" s="33" t="s">
        <v>11</v>
      </c>
      <c r="F47" s="33">
        <v>4</v>
      </c>
      <c r="G47" s="33" t="b">
        <v>1</v>
      </c>
      <c r="H47" s="33" t="s">
        <v>159</v>
      </c>
      <c r="I47" s="33">
        <v>89</v>
      </c>
      <c r="J47" s="33" t="str">
        <f t="shared" si="0"/>
        <v>Students</v>
      </c>
      <c r="K47" s="33" t="str">
        <f t="shared" si="1"/>
        <v>HC</v>
      </c>
    </row>
    <row r="48" spans="1:11" x14ac:dyDescent="0.25">
      <c r="A48" s="33" t="s">
        <v>195</v>
      </c>
      <c r="B48" s="33">
        <v>18</v>
      </c>
      <c r="C48" s="33" t="s">
        <v>1</v>
      </c>
      <c r="D48" s="33">
        <v>0</v>
      </c>
      <c r="E48" s="33" t="s">
        <v>11</v>
      </c>
      <c r="F48" s="33">
        <v>5</v>
      </c>
      <c r="G48" s="33" t="b">
        <v>1</v>
      </c>
      <c r="H48" s="33" t="s">
        <v>159</v>
      </c>
      <c r="I48" s="33">
        <v>92</v>
      </c>
      <c r="J48" s="33" t="str">
        <f t="shared" si="0"/>
        <v>Students</v>
      </c>
      <c r="K48" s="33" t="str">
        <f t="shared" si="1"/>
        <v>HC</v>
      </c>
    </row>
    <row r="49" spans="1:11" x14ac:dyDescent="0.25">
      <c r="A49" s="33" t="s">
        <v>196</v>
      </c>
      <c r="B49" s="33">
        <v>18</v>
      </c>
      <c r="C49" s="33" t="s">
        <v>1</v>
      </c>
      <c r="D49" s="33">
        <v>1</v>
      </c>
      <c r="E49" s="33" t="s">
        <v>11</v>
      </c>
      <c r="F49" s="33">
        <v>5</v>
      </c>
      <c r="G49" s="33" t="b">
        <v>1</v>
      </c>
      <c r="H49" s="33" t="s">
        <v>159</v>
      </c>
      <c r="I49" s="33">
        <v>88</v>
      </c>
      <c r="J49" s="33" t="str">
        <f t="shared" si="0"/>
        <v>Students</v>
      </c>
      <c r="K49" s="33" t="str">
        <f t="shared" si="1"/>
        <v>HC</v>
      </c>
    </row>
    <row r="50" spans="1:11" x14ac:dyDescent="0.25">
      <c r="A50" s="33" t="s">
        <v>197</v>
      </c>
      <c r="B50" s="33">
        <v>58</v>
      </c>
      <c r="C50" s="33" t="s">
        <v>44</v>
      </c>
      <c r="D50" s="33">
        <v>35</v>
      </c>
      <c r="E50" s="33" t="s">
        <v>13</v>
      </c>
      <c r="F50" s="33">
        <v>3</v>
      </c>
      <c r="G50" s="33" t="b">
        <v>0</v>
      </c>
      <c r="H50" s="33" t="s">
        <v>165</v>
      </c>
      <c r="I50" s="33">
        <v>91</v>
      </c>
      <c r="J50" s="33" t="str">
        <f t="shared" si="0"/>
        <v>Retirees</v>
      </c>
      <c r="K50" s="33" t="str">
        <f t="shared" si="1"/>
        <v>HC</v>
      </c>
    </row>
    <row r="51" spans="1:11" x14ac:dyDescent="0.25">
      <c r="A51" s="33" t="s">
        <v>198</v>
      </c>
      <c r="B51" s="33">
        <v>18</v>
      </c>
      <c r="C51" s="33" t="s">
        <v>1</v>
      </c>
      <c r="D51" s="33">
        <v>2</v>
      </c>
      <c r="E51" s="33" t="s">
        <v>11</v>
      </c>
      <c r="F51" s="33">
        <v>4</v>
      </c>
      <c r="G51" s="33" t="b">
        <v>1</v>
      </c>
      <c r="H51" s="33" t="s">
        <v>159</v>
      </c>
      <c r="I51" s="33">
        <v>91</v>
      </c>
      <c r="J51" s="33" t="str">
        <f t="shared" si="0"/>
        <v>Students</v>
      </c>
      <c r="K51" s="33" t="str">
        <f t="shared" si="1"/>
        <v>NHC</v>
      </c>
    </row>
    <row r="52" spans="1:11" x14ac:dyDescent="0.25">
      <c r="A52" s="33" t="s">
        <v>199</v>
      </c>
      <c r="B52" s="33">
        <v>19</v>
      </c>
      <c r="C52" s="33" t="s">
        <v>1</v>
      </c>
      <c r="D52" s="33">
        <v>0</v>
      </c>
      <c r="E52" s="33" t="s">
        <v>11</v>
      </c>
      <c r="F52" s="33">
        <v>3</v>
      </c>
      <c r="G52" s="33" t="b">
        <v>1</v>
      </c>
      <c r="H52" s="33" t="s">
        <v>159</v>
      </c>
      <c r="I52" s="33">
        <v>93</v>
      </c>
      <c r="J52" s="33" t="str">
        <f t="shared" si="0"/>
        <v>Students</v>
      </c>
      <c r="K52" s="33" t="str">
        <f t="shared" si="1"/>
        <v>HC</v>
      </c>
    </row>
    <row r="53" spans="1:11" x14ac:dyDescent="0.25">
      <c r="A53" s="33" t="s">
        <v>200</v>
      </c>
      <c r="B53" s="33">
        <v>20</v>
      </c>
      <c r="C53" s="33" t="s">
        <v>1</v>
      </c>
      <c r="D53" s="33">
        <v>1</v>
      </c>
      <c r="E53" s="33" t="s">
        <v>14</v>
      </c>
      <c r="F53" s="33">
        <v>5</v>
      </c>
      <c r="G53" s="33" t="b">
        <v>1</v>
      </c>
      <c r="H53" s="33" t="s">
        <v>159</v>
      </c>
      <c r="I53" s="33">
        <v>82</v>
      </c>
      <c r="J53" s="33" t="str">
        <f t="shared" si="0"/>
        <v>Students</v>
      </c>
      <c r="K53" s="33" t="str">
        <f t="shared" si="1"/>
        <v>HC</v>
      </c>
    </row>
    <row r="54" spans="1:11" x14ac:dyDescent="0.25">
      <c r="A54" s="33" t="s">
        <v>201</v>
      </c>
      <c r="B54" s="33">
        <v>18</v>
      </c>
      <c r="C54" s="33" t="s">
        <v>1</v>
      </c>
      <c r="D54" s="33">
        <v>0</v>
      </c>
      <c r="E54" s="33" t="s">
        <v>11</v>
      </c>
      <c r="F54" s="33">
        <v>4</v>
      </c>
      <c r="G54" s="33" t="b">
        <v>1</v>
      </c>
      <c r="H54" s="33" t="s">
        <v>159</v>
      </c>
      <c r="I54" s="33">
        <v>89</v>
      </c>
      <c r="J54" s="33" t="str">
        <f t="shared" si="0"/>
        <v>Students</v>
      </c>
      <c r="K54" s="33" t="str">
        <f t="shared" si="1"/>
        <v>NHC</v>
      </c>
    </row>
    <row r="55" spans="1:11" x14ac:dyDescent="0.25">
      <c r="A55" s="33" t="s">
        <v>202</v>
      </c>
      <c r="B55" s="33">
        <v>72</v>
      </c>
      <c r="C55" s="33" t="s">
        <v>44</v>
      </c>
      <c r="D55" s="33">
        <v>32</v>
      </c>
      <c r="E55" s="33" t="s">
        <v>18</v>
      </c>
      <c r="F55" s="33">
        <v>4</v>
      </c>
      <c r="G55" s="33" t="b">
        <v>0</v>
      </c>
      <c r="H55" s="33" t="s">
        <v>165</v>
      </c>
      <c r="I55" s="33">
        <v>92</v>
      </c>
      <c r="J55" s="33" t="str">
        <f t="shared" si="0"/>
        <v>Retirees</v>
      </c>
      <c r="K55" s="33" t="str">
        <f t="shared" si="1"/>
        <v>HC</v>
      </c>
    </row>
    <row r="56" spans="1:11" x14ac:dyDescent="0.25">
      <c r="A56" s="33" t="s">
        <v>203</v>
      </c>
      <c r="B56" s="33">
        <v>20</v>
      </c>
      <c r="C56" s="33" t="s">
        <v>1</v>
      </c>
      <c r="D56" s="33">
        <v>1</v>
      </c>
      <c r="E56" s="33" t="s">
        <v>14</v>
      </c>
      <c r="F56" s="33">
        <v>5</v>
      </c>
      <c r="G56" s="33" t="b">
        <v>1</v>
      </c>
      <c r="H56" s="33" t="s">
        <v>159</v>
      </c>
      <c r="I56" s="33">
        <v>83</v>
      </c>
      <c r="J56" s="33" t="str">
        <f t="shared" si="0"/>
        <v>Students</v>
      </c>
      <c r="K56" s="33" t="str">
        <f t="shared" si="1"/>
        <v>NHC</v>
      </c>
    </row>
    <row r="57" spans="1:11" x14ac:dyDescent="0.25">
      <c r="A57" s="33" t="s">
        <v>204</v>
      </c>
      <c r="B57" s="33">
        <v>20</v>
      </c>
      <c r="C57" s="33" t="s">
        <v>1</v>
      </c>
      <c r="D57" s="33">
        <v>1</v>
      </c>
      <c r="E57" s="33" t="s">
        <v>11</v>
      </c>
      <c r="F57" s="33">
        <v>5</v>
      </c>
      <c r="G57" s="33" t="b">
        <v>1</v>
      </c>
      <c r="H57" s="33" t="s">
        <v>159</v>
      </c>
      <c r="I57" s="33">
        <v>87</v>
      </c>
      <c r="J57" s="33" t="str">
        <f t="shared" si="0"/>
        <v>Students</v>
      </c>
      <c r="K57" s="33" t="str">
        <f t="shared" si="1"/>
        <v>NHC</v>
      </c>
    </row>
    <row r="58" spans="1:11" x14ac:dyDescent="0.25">
      <c r="A58" s="33" t="s">
        <v>205</v>
      </c>
      <c r="B58" s="33">
        <v>21</v>
      </c>
      <c r="C58" s="33" t="s">
        <v>1</v>
      </c>
      <c r="D58" s="33">
        <v>2</v>
      </c>
      <c r="E58" s="33" t="s">
        <v>11</v>
      </c>
      <c r="F58" s="33">
        <v>3</v>
      </c>
      <c r="G58" s="33" t="b">
        <v>1</v>
      </c>
      <c r="H58" s="33" t="s">
        <v>159</v>
      </c>
      <c r="I58" s="33">
        <v>91</v>
      </c>
      <c r="J58" s="33" t="str">
        <f t="shared" si="0"/>
        <v>Students</v>
      </c>
      <c r="K58" s="33" t="str">
        <f t="shared" si="1"/>
        <v>HC</v>
      </c>
    </row>
    <row r="59" spans="1:11" x14ac:dyDescent="0.25">
      <c r="A59" s="33" t="s">
        <v>206</v>
      </c>
      <c r="B59" s="33">
        <v>18</v>
      </c>
      <c r="C59" s="33" t="s">
        <v>1</v>
      </c>
      <c r="D59" s="33">
        <v>1</v>
      </c>
      <c r="E59" s="33" t="s">
        <v>11</v>
      </c>
      <c r="F59" s="33">
        <v>5</v>
      </c>
      <c r="G59" s="33" t="b">
        <v>1</v>
      </c>
      <c r="H59" s="33" t="s">
        <v>159</v>
      </c>
      <c r="I59" s="33">
        <v>92</v>
      </c>
      <c r="J59" s="33" t="str">
        <f t="shared" si="0"/>
        <v>Students</v>
      </c>
      <c r="K59" s="33" t="str">
        <f t="shared" si="1"/>
        <v>HC</v>
      </c>
    </row>
    <row r="60" spans="1:11" x14ac:dyDescent="0.25">
      <c r="A60" s="33" t="s">
        <v>207</v>
      </c>
      <c r="B60" s="33">
        <v>24</v>
      </c>
      <c r="C60" s="33" t="s">
        <v>42</v>
      </c>
      <c r="D60" s="33">
        <v>2</v>
      </c>
      <c r="E60" s="33" t="s">
        <v>11</v>
      </c>
      <c r="F60" s="33">
        <v>3</v>
      </c>
      <c r="G60" s="33" t="b">
        <v>0</v>
      </c>
      <c r="H60" s="33" t="s">
        <v>83</v>
      </c>
      <c r="I60" s="33">
        <v>89</v>
      </c>
      <c r="J60" s="33" t="str">
        <f t="shared" si="0"/>
        <v>Young Professionals</v>
      </c>
      <c r="K60" s="33" t="str">
        <f t="shared" si="1"/>
        <v>HC</v>
      </c>
    </row>
    <row r="61" spans="1:11" x14ac:dyDescent="0.25">
      <c r="A61" s="33" t="s">
        <v>208</v>
      </c>
      <c r="B61" s="33">
        <v>21</v>
      </c>
      <c r="C61" s="33" t="s">
        <v>1</v>
      </c>
      <c r="D61" s="33">
        <v>1</v>
      </c>
      <c r="E61" s="33" t="s">
        <v>11</v>
      </c>
      <c r="F61" s="33">
        <v>3</v>
      </c>
      <c r="G61" s="33" t="b">
        <v>1</v>
      </c>
      <c r="H61" s="33" t="s">
        <v>159</v>
      </c>
      <c r="I61" s="33">
        <v>91</v>
      </c>
      <c r="J61" s="33" t="str">
        <f t="shared" si="0"/>
        <v>Students</v>
      </c>
      <c r="K61" s="33" t="str">
        <f t="shared" si="1"/>
        <v>HC</v>
      </c>
    </row>
    <row r="62" spans="1:11" x14ac:dyDescent="0.25">
      <c r="A62" s="33" t="s">
        <v>209</v>
      </c>
      <c r="B62" s="33">
        <v>20</v>
      </c>
      <c r="C62" s="33" t="s">
        <v>43</v>
      </c>
      <c r="D62" s="33">
        <v>0</v>
      </c>
      <c r="E62" s="33" t="s">
        <v>8</v>
      </c>
      <c r="F62" s="33">
        <v>4</v>
      </c>
      <c r="G62" s="33" t="b">
        <v>0</v>
      </c>
      <c r="H62" s="33" t="s">
        <v>165</v>
      </c>
      <c r="I62" s="33">
        <v>92</v>
      </c>
      <c r="J62" s="33" t="str">
        <f t="shared" si="0"/>
        <v>Homemakers</v>
      </c>
      <c r="K62" s="33" t="str">
        <f t="shared" si="1"/>
        <v>HC</v>
      </c>
    </row>
    <row r="63" spans="1:11" x14ac:dyDescent="0.25">
      <c r="A63" s="33" t="s">
        <v>210</v>
      </c>
      <c r="B63" s="33">
        <v>30</v>
      </c>
      <c r="C63" s="33" t="s">
        <v>42</v>
      </c>
      <c r="D63" s="33">
        <v>0</v>
      </c>
      <c r="E63" s="33" t="s">
        <v>13</v>
      </c>
      <c r="F63" s="33">
        <v>2</v>
      </c>
      <c r="G63" s="33" t="b">
        <v>1</v>
      </c>
      <c r="H63" s="33" t="s">
        <v>83</v>
      </c>
      <c r="I63" s="33">
        <v>92</v>
      </c>
      <c r="J63" s="33" t="str">
        <f t="shared" si="0"/>
        <v>Young Professionals</v>
      </c>
      <c r="K63" s="33" t="str">
        <f t="shared" si="1"/>
        <v>NHC</v>
      </c>
    </row>
    <row r="64" spans="1:11" x14ac:dyDescent="0.25">
      <c r="A64" s="33" t="s">
        <v>211</v>
      </c>
      <c r="B64" s="33">
        <v>23</v>
      </c>
      <c r="C64" s="33" t="s">
        <v>42</v>
      </c>
      <c r="D64" s="33">
        <v>3</v>
      </c>
      <c r="E64" s="33" t="s">
        <v>20</v>
      </c>
      <c r="F64" s="33">
        <v>1</v>
      </c>
      <c r="G64" s="33" t="b">
        <v>0</v>
      </c>
      <c r="H64" s="33" t="s">
        <v>83</v>
      </c>
      <c r="I64" s="33">
        <v>95</v>
      </c>
      <c r="J64" s="33" t="str">
        <f t="shared" si="0"/>
        <v>Young Professionals</v>
      </c>
      <c r="K64" s="33" t="str">
        <f t="shared" si="1"/>
        <v>NHC</v>
      </c>
    </row>
    <row r="65" spans="1:11" x14ac:dyDescent="0.25">
      <c r="A65" s="33" t="s">
        <v>212</v>
      </c>
      <c r="B65" s="33">
        <v>33</v>
      </c>
      <c r="C65" s="33" t="s">
        <v>43</v>
      </c>
      <c r="D65" s="33">
        <v>3</v>
      </c>
      <c r="E65" s="33" t="s">
        <v>13</v>
      </c>
      <c r="F65" s="33">
        <v>5</v>
      </c>
      <c r="G65" s="33" t="b">
        <v>1</v>
      </c>
      <c r="H65" s="33" t="s">
        <v>165</v>
      </c>
      <c r="I65" s="33">
        <v>96</v>
      </c>
      <c r="J65" s="33" t="str">
        <f t="shared" si="0"/>
        <v>Homemakers</v>
      </c>
      <c r="K65" s="33" t="str">
        <f t="shared" si="1"/>
        <v>NHC</v>
      </c>
    </row>
    <row r="66" spans="1:11" x14ac:dyDescent="0.25">
      <c r="A66" s="33" t="s">
        <v>213</v>
      </c>
      <c r="B66" s="33">
        <v>19</v>
      </c>
      <c r="C66" s="33" t="s">
        <v>1</v>
      </c>
      <c r="D66" s="33">
        <v>1</v>
      </c>
      <c r="E66" s="33" t="s">
        <v>11</v>
      </c>
      <c r="F66" s="33">
        <v>4</v>
      </c>
      <c r="G66" s="33" t="b">
        <v>1</v>
      </c>
      <c r="H66" s="33" t="s">
        <v>159</v>
      </c>
      <c r="I66" s="33">
        <v>91</v>
      </c>
      <c r="J66" s="33" t="str">
        <f t="shared" ref="J66:J129" si="2">IF(C66="Student", "Students", IF(AND(C66="Employed", B66&gt;=22, B66&lt;=30), "Young Professionals", IF(AND(C66="Employed", B66&gt;=31, B66&lt;=55), "Mid-to-Late Career", IF(C66="Retired", "Retirees", "Homemakers"))))</f>
        <v>Students</v>
      </c>
      <c r="K66" s="33" t="str">
        <f t="shared" ref="K66:K129" si="3">IF(E65="Healthcare &amp; Life Sciences", "HC", "NHC")</f>
        <v>NHC</v>
      </c>
    </row>
    <row r="67" spans="1:11" x14ac:dyDescent="0.25">
      <c r="A67" s="33" t="s">
        <v>214</v>
      </c>
      <c r="B67" s="33">
        <v>18</v>
      </c>
      <c r="C67" s="33" t="s">
        <v>1</v>
      </c>
      <c r="D67" s="33">
        <v>2</v>
      </c>
      <c r="E67" s="33" t="s">
        <v>11</v>
      </c>
      <c r="F67" s="33">
        <v>4</v>
      </c>
      <c r="G67" s="33" t="b">
        <v>1</v>
      </c>
      <c r="H67" s="33" t="s">
        <v>159</v>
      </c>
      <c r="I67" s="33">
        <v>92</v>
      </c>
      <c r="J67" s="33" t="str">
        <f t="shared" si="2"/>
        <v>Students</v>
      </c>
      <c r="K67" s="33" t="str">
        <f t="shared" si="3"/>
        <v>HC</v>
      </c>
    </row>
    <row r="68" spans="1:11" x14ac:dyDescent="0.25">
      <c r="A68" s="33" t="s">
        <v>215</v>
      </c>
      <c r="B68" s="33">
        <v>21</v>
      </c>
      <c r="C68" s="33" t="s">
        <v>43</v>
      </c>
      <c r="D68" s="33">
        <v>1</v>
      </c>
      <c r="E68" s="33" t="s">
        <v>13</v>
      </c>
      <c r="F68" s="33">
        <v>4</v>
      </c>
      <c r="G68" s="33" t="b">
        <v>0</v>
      </c>
      <c r="H68" s="33" t="s">
        <v>165</v>
      </c>
      <c r="I68" s="33">
        <v>94</v>
      </c>
      <c r="J68" s="33" t="str">
        <f t="shared" si="2"/>
        <v>Homemakers</v>
      </c>
      <c r="K68" s="33" t="str">
        <f t="shared" si="3"/>
        <v>HC</v>
      </c>
    </row>
    <row r="69" spans="1:11" x14ac:dyDescent="0.25">
      <c r="A69" s="33" t="s">
        <v>216</v>
      </c>
      <c r="B69" s="33">
        <v>18</v>
      </c>
      <c r="C69" s="33" t="s">
        <v>1</v>
      </c>
      <c r="D69" s="33">
        <v>2</v>
      </c>
      <c r="E69" s="33" t="s">
        <v>11</v>
      </c>
      <c r="F69" s="33">
        <v>4</v>
      </c>
      <c r="G69" s="33" t="b">
        <v>1</v>
      </c>
      <c r="H69" s="33" t="s">
        <v>159</v>
      </c>
      <c r="I69" s="33">
        <v>89</v>
      </c>
      <c r="J69" s="33" t="str">
        <f t="shared" si="2"/>
        <v>Students</v>
      </c>
      <c r="K69" s="33" t="str">
        <f t="shared" si="3"/>
        <v>NHC</v>
      </c>
    </row>
    <row r="70" spans="1:11" x14ac:dyDescent="0.25">
      <c r="A70" s="33" t="s">
        <v>217</v>
      </c>
      <c r="B70" s="33">
        <v>27</v>
      </c>
      <c r="C70" s="33" t="s">
        <v>42</v>
      </c>
      <c r="D70" s="33">
        <v>0</v>
      </c>
      <c r="E70" s="33" t="s">
        <v>23</v>
      </c>
      <c r="F70" s="33">
        <v>2</v>
      </c>
      <c r="G70" s="33" t="b">
        <v>1</v>
      </c>
      <c r="H70" s="33" t="s">
        <v>83</v>
      </c>
      <c r="I70" s="33">
        <v>94</v>
      </c>
      <c r="J70" s="33" t="str">
        <f t="shared" si="2"/>
        <v>Young Professionals</v>
      </c>
      <c r="K70" s="33" t="str">
        <f t="shared" si="3"/>
        <v>HC</v>
      </c>
    </row>
    <row r="71" spans="1:11" x14ac:dyDescent="0.25">
      <c r="A71" s="33" t="s">
        <v>152</v>
      </c>
      <c r="B71" s="33">
        <v>42</v>
      </c>
      <c r="C71" s="33" t="s">
        <v>42</v>
      </c>
      <c r="D71" s="33">
        <v>9</v>
      </c>
      <c r="E71" s="33" t="s">
        <v>8</v>
      </c>
      <c r="F71" s="33">
        <v>1</v>
      </c>
      <c r="G71" s="33" t="b">
        <v>0</v>
      </c>
      <c r="H71" s="33" t="s">
        <v>83</v>
      </c>
      <c r="I71" s="33">
        <v>69</v>
      </c>
      <c r="J71" s="33" t="str">
        <f t="shared" si="2"/>
        <v>Mid-to-Late Career</v>
      </c>
      <c r="K71" s="33" t="str">
        <f t="shared" si="3"/>
        <v>NHC</v>
      </c>
    </row>
    <row r="72" spans="1:11" x14ac:dyDescent="0.25">
      <c r="A72" s="33" t="s">
        <v>153</v>
      </c>
      <c r="B72" s="33">
        <v>43</v>
      </c>
      <c r="C72" s="33" t="s">
        <v>42</v>
      </c>
      <c r="D72" s="33">
        <v>24</v>
      </c>
      <c r="E72" s="33" t="s">
        <v>8</v>
      </c>
      <c r="F72" s="33">
        <v>2</v>
      </c>
      <c r="G72" s="33" t="b">
        <v>0</v>
      </c>
      <c r="H72" s="33" t="s">
        <v>83</v>
      </c>
      <c r="I72" s="33">
        <v>71</v>
      </c>
      <c r="J72" s="33" t="str">
        <f t="shared" si="2"/>
        <v>Mid-to-Late Career</v>
      </c>
      <c r="K72" s="33" t="str">
        <f t="shared" si="3"/>
        <v>NHC</v>
      </c>
    </row>
    <row r="73" spans="1:11" x14ac:dyDescent="0.25">
      <c r="A73" s="33" t="s">
        <v>154</v>
      </c>
      <c r="B73" s="33">
        <v>36</v>
      </c>
      <c r="C73" s="33" t="s">
        <v>42</v>
      </c>
      <c r="D73" s="33">
        <v>7</v>
      </c>
      <c r="E73" s="33" t="s">
        <v>14</v>
      </c>
      <c r="F73" s="33">
        <v>0</v>
      </c>
      <c r="G73" s="33" t="b">
        <v>1</v>
      </c>
      <c r="H73" s="33" t="s">
        <v>83</v>
      </c>
      <c r="I73" s="33">
        <v>72</v>
      </c>
      <c r="J73" s="33" t="str">
        <f t="shared" si="2"/>
        <v>Mid-to-Late Career</v>
      </c>
      <c r="K73" s="33" t="str">
        <f t="shared" si="3"/>
        <v>NHC</v>
      </c>
    </row>
    <row r="74" spans="1:11" x14ac:dyDescent="0.25">
      <c r="A74" s="33" t="s">
        <v>218</v>
      </c>
      <c r="B74" s="33">
        <v>28</v>
      </c>
      <c r="C74" s="33" t="s">
        <v>42</v>
      </c>
      <c r="D74" s="33">
        <v>5</v>
      </c>
      <c r="E74" s="33" t="s">
        <v>8</v>
      </c>
      <c r="F74" s="33">
        <v>1</v>
      </c>
      <c r="G74" s="33" t="b">
        <v>1</v>
      </c>
      <c r="H74" s="33" t="s">
        <v>83</v>
      </c>
      <c r="I74" s="33">
        <v>94</v>
      </c>
      <c r="J74" s="33" t="str">
        <f t="shared" si="2"/>
        <v>Young Professionals</v>
      </c>
      <c r="K74" s="33" t="str">
        <f t="shared" si="3"/>
        <v>NHC</v>
      </c>
    </row>
    <row r="75" spans="1:11" x14ac:dyDescent="0.25">
      <c r="A75" s="33" t="s">
        <v>219</v>
      </c>
      <c r="B75" s="33">
        <v>23</v>
      </c>
      <c r="C75" s="33" t="s">
        <v>42</v>
      </c>
      <c r="D75" s="33">
        <v>2</v>
      </c>
      <c r="E75" s="33" t="s">
        <v>10</v>
      </c>
      <c r="F75" s="33">
        <v>1</v>
      </c>
      <c r="G75" s="33" t="b">
        <v>0</v>
      </c>
      <c r="H75" s="33" t="s">
        <v>83</v>
      </c>
      <c r="I75" s="33">
        <v>93</v>
      </c>
      <c r="J75" s="33" t="str">
        <f t="shared" si="2"/>
        <v>Young Professionals</v>
      </c>
      <c r="K75" s="33" t="str">
        <f t="shared" si="3"/>
        <v>NHC</v>
      </c>
    </row>
    <row r="76" spans="1:11" x14ac:dyDescent="0.25">
      <c r="A76" s="33" t="s">
        <v>220</v>
      </c>
      <c r="B76" s="33">
        <v>25</v>
      </c>
      <c r="C76" s="33" t="s">
        <v>42</v>
      </c>
      <c r="D76" s="33">
        <v>5</v>
      </c>
      <c r="E76" s="33" t="s">
        <v>16</v>
      </c>
      <c r="F76" s="33">
        <v>1</v>
      </c>
      <c r="G76" s="33" t="b">
        <v>1</v>
      </c>
      <c r="H76" s="33" t="s">
        <v>83</v>
      </c>
      <c r="I76" s="33">
        <v>94</v>
      </c>
      <c r="J76" s="33" t="str">
        <f t="shared" si="2"/>
        <v>Young Professionals</v>
      </c>
      <c r="K76" s="33" t="str">
        <f t="shared" si="3"/>
        <v>NHC</v>
      </c>
    </row>
    <row r="77" spans="1:11" x14ac:dyDescent="0.25">
      <c r="A77" s="33" t="s">
        <v>221</v>
      </c>
      <c r="B77" s="33">
        <v>29</v>
      </c>
      <c r="C77" s="33" t="s">
        <v>42</v>
      </c>
      <c r="D77" s="33">
        <v>5</v>
      </c>
      <c r="E77" s="33" t="s">
        <v>10</v>
      </c>
      <c r="F77" s="33">
        <v>1</v>
      </c>
      <c r="G77" s="33" t="b">
        <v>1</v>
      </c>
      <c r="H77" s="33" t="s">
        <v>83</v>
      </c>
      <c r="I77" s="33">
        <v>92</v>
      </c>
      <c r="J77" s="33" t="str">
        <f t="shared" si="2"/>
        <v>Young Professionals</v>
      </c>
      <c r="K77" s="33" t="str">
        <f t="shared" si="3"/>
        <v>NHC</v>
      </c>
    </row>
    <row r="78" spans="1:11" x14ac:dyDescent="0.25">
      <c r="A78" s="33" t="s">
        <v>222</v>
      </c>
      <c r="B78" s="33">
        <v>28</v>
      </c>
      <c r="C78" s="33" t="s">
        <v>42</v>
      </c>
      <c r="D78" s="33">
        <v>0</v>
      </c>
      <c r="E78" s="33" t="s">
        <v>23</v>
      </c>
      <c r="F78" s="33">
        <v>0</v>
      </c>
      <c r="G78" s="33" t="b">
        <v>0</v>
      </c>
      <c r="H78" s="33" t="s">
        <v>83</v>
      </c>
      <c r="I78" s="33">
        <v>93</v>
      </c>
      <c r="J78" s="33" t="str">
        <f t="shared" si="2"/>
        <v>Young Professionals</v>
      </c>
      <c r="K78" s="33" t="str">
        <f t="shared" si="3"/>
        <v>NHC</v>
      </c>
    </row>
    <row r="79" spans="1:11" x14ac:dyDescent="0.25">
      <c r="A79" s="33" t="s">
        <v>223</v>
      </c>
      <c r="B79" s="33">
        <v>21</v>
      </c>
      <c r="C79" s="33" t="s">
        <v>1</v>
      </c>
      <c r="D79" s="33">
        <v>2</v>
      </c>
      <c r="E79" s="33" t="s">
        <v>11</v>
      </c>
      <c r="F79" s="33">
        <v>5</v>
      </c>
      <c r="G79" s="33" t="b">
        <v>1</v>
      </c>
      <c r="H79" s="33" t="s">
        <v>159</v>
      </c>
      <c r="I79" s="33">
        <v>92</v>
      </c>
      <c r="J79" s="33" t="str">
        <f t="shared" si="2"/>
        <v>Students</v>
      </c>
      <c r="K79" s="33" t="str">
        <f t="shared" si="3"/>
        <v>NHC</v>
      </c>
    </row>
    <row r="80" spans="1:11" x14ac:dyDescent="0.25">
      <c r="A80" s="33" t="s">
        <v>224</v>
      </c>
      <c r="B80" s="33">
        <v>35</v>
      </c>
      <c r="C80" s="33" t="s">
        <v>43</v>
      </c>
      <c r="D80" s="33">
        <v>6</v>
      </c>
      <c r="E80" s="33" t="s">
        <v>23</v>
      </c>
      <c r="F80" s="33">
        <v>3</v>
      </c>
      <c r="G80" s="33" t="b">
        <v>0</v>
      </c>
      <c r="H80" s="33" t="s">
        <v>165</v>
      </c>
      <c r="I80" s="33">
        <v>93</v>
      </c>
      <c r="J80" s="33" t="str">
        <f t="shared" si="2"/>
        <v>Homemakers</v>
      </c>
      <c r="K80" s="33" t="str">
        <f t="shared" si="3"/>
        <v>HC</v>
      </c>
    </row>
    <row r="81" spans="1:11" x14ac:dyDescent="0.25">
      <c r="A81" s="33" t="s">
        <v>225</v>
      </c>
      <c r="B81" s="33">
        <v>52</v>
      </c>
      <c r="C81" s="33" t="s">
        <v>43</v>
      </c>
      <c r="D81" s="33">
        <v>14</v>
      </c>
      <c r="E81" s="33" t="s">
        <v>23</v>
      </c>
      <c r="F81" s="33">
        <v>5</v>
      </c>
      <c r="G81" s="33" t="b">
        <v>0</v>
      </c>
      <c r="H81" s="33" t="s">
        <v>165</v>
      </c>
      <c r="I81" s="33">
        <v>92</v>
      </c>
      <c r="J81" s="33" t="str">
        <f t="shared" si="2"/>
        <v>Homemakers</v>
      </c>
      <c r="K81" s="33" t="str">
        <f t="shared" si="3"/>
        <v>NHC</v>
      </c>
    </row>
    <row r="82" spans="1:11" x14ac:dyDescent="0.25">
      <c r="A82" s="33" t="s">
        <v>226</v>
      </c>
      <c r="B82" s="33">
        <v>19</v>
      </c>
      <c r="C82" s="33" t="s">
        <v>1</v>
      </c>
      <c r="D82" s="33">
        <v>0</v>
      </c>
      <c r="E82" s="33" t="s">
        <v>13</v>
      </c>
      <c r="F82" s="33">
        <v>3</v>
      </c>
      <c r="G82" s="33" t="b">
        <v>1</v>
      </c>
      <c r="H82" s="33" t="s">
        <v>159</v>
      </c>
      <c r="I82" s="33">
        <v>85</v>
      </c>
      <c r="J82" s="33" t="str">
        <f t="shared" si="2"/>
        <v>Students</v>
      </c>
      <c r="K82" s="33" t="str">
        <f t="shared" si="3"/>
        <v>NHC</v>
      </c>
    </row>
    <row r="83" spans="1:11" x14ac:dyDescent="0.25">
      <c r="A83" s="33" t="s">
        <v>227</v>
      </c>
      <c r="B83" s="33">
        <v>20</v>
      </c>
      <c r="C83" s="33" t="s">
        <v>1</v>
      </c>
      <c r="D83" s="33">
        <v>1</v>
      </c>
      <c r="E83" s="33" t="s">
        <v>11</v>
      </c>
      <c r="F83" s="33">
        <v>3</v>
      </c>
      <c r="G83" s="33" t="b">
        <v>1</v>
      </c>
      <c r="H83" s="33" t="s">
        <v>159</v>
      </c>
      <c r="I83" s="33">
        <v>88</v>
      </c>
      <c r="J83" s="33" t="str">
        <f t="shared" si="2"/>
        <v>Students</v>
      </c>
      <c r="K83" s="33" t="str">
        <f t="shared" si="3"/>
        <v>NHC</v>
      </c>
    </row>
    <row r="84" spans="1:11" x14ac:dyDescent="0.25">
      <c r="A84" s="33" t="s">
        <v>228</v>
      </c>
      <c r="B84" s="33">
        <v>51</v>
      </c>
      <c r="C84" s="33" t="s">
        <v>43</v>
      </c>
      <c r="D84" s="33">
        <v>5</v>
      </c>
      <c r="E84" s="33" t="s">
        <v>14</v>
      </c>
      <c r="F84" s="33">
        <v>5</v>
      </c>
      <c r="G84" s="33" t="b">
        <v>0</v>
      </c>
      <c r="H84" s="33" t="s">
        <v>165</v>
      </c>
      <c r="I84" s="33">
        <v>93</v>
      </c>
      <c r="J84" s="33" t="str">
        <f t="shared" si="2"/>
        <v>Homemakers</v>
      </c>
      <c r="K84" s="33" t="str">
        <f t="shared" si="3"/>
        <v>HC</v>
      </c>
    </row>
    <row r="85" spans="1:11" x14ac:dyDescent="0.25">
      <c r="A85" s="33" t="s">
        <v>229</v>
      </c>
      <c r="B85" s="33">
        <v>19</v>
      </c>
      <c r="C85" s="33" t="s">
        <v>1</v>
      </c>
      <c r="D85" s="33">
        <v>1</v>
      </c>
      <c r="E85" s="33" t="s">
        <v>8</v>
      </c>
      <c r="F85" s="33">
        <v>3</v>
      </c>
      <c r="G85" s="33" t="b">
        <v>0</v>
      </c>
      <c r="H85" s="33" t="s">
        <v>159</v>
      </c>
      <c r="I85" s="33">
        <v>84</v>
      </c>
      <c r="J85" s="33" t="str">
        <f t="shared" si="2"/>
        <v>Students</v>
      </c>
      <c r="K85" s="33" t="str">
        <f t="shared" si="3"/>
        <v>NHC</v>
      </c>
    </row>
    <row r="86" spans="1:11" x14ac:dyDescent="0.25">
      <c r="A86" s="33" t="s">
        <v>230</v>
      </c>
      <c r="B86" s="33">
        <v>29</v>
      </c>
      <c r="C86" s="33" t="s">
        <v>42</v>
      </c>
      <c r="D86" s="33">
        <v>0</v>
      </c>
      <c r="E86" s="33" t="s">
        <v>13</v>
      </c>
      <c r="F86" s="33">
        <v>0</v>
      </c>
      <c r="G86" s="33" t="b">
        <v>0</v>
      </c>
      <c r="H86" s="33" t="s">
        <v>83</v>
      </c>
      <c r="I86" s="33">
        <v>91</v>
      </c>
      <c r="J86" s="33" t="str">
        <f t="shared" si="2"/>
        <v>Young Professionals</v>
      </c>
      <c r="K86" s="33" t="str">
        <f t="shared" si="3"/>
        <v>NHC</v>
      </c>
    </row>
    <row r="87" spans="1:11" x14ac:dyDescent="0.25">
      <c r="A87" s="33" t="s">
        <v>231</v>
      </c>
      <c r="B87" s="33">
        <v>19</v>
      </c>
      <c r="C87" s="33" t="s">
        <v>1</v>
      </c>
      <c r="D87" s="33">
        <v>2</v>
      </c>
      <c r="E87" s="33" t="s">
        <v>11</v>
      </c>
      <c r="F87" s="33">
        <v>4</v>
      </c>
      <c r="G87" s="33" t="b">
        <v>1</v>
      </c>
      <c r="H87" s="33" t="s">
        <v>159</v>
      </c>
      <c r="I87" s="33">
        <v>87</v>
      </c>
      <c r="J87" s="33" t="str">
        <f t="shared" si="2"/>
        <v>Students</v>
      </c>
      <c r="K87" s="33" t="str">
        <f t="shared" si="3"/>
        <v>NHC</v>
      </c>
    </row>
    <row r="88" spans="1:11" x14ac:dyDescent="0.25">
      <c r="A88" s="33" t="s">
        <v>232</v>
      </c>
      <c r="B88" s="33">
        <v>18</v>
      </c>
      <c r="C88" s="33" t="s">
        <v>1</v>
      </c>
      <c r="D88" s="33">
        <v>2</v>
      </c>
      <c r="E88" s="33" t="s">
        <v>14</v>
      </c>
      <c r="F88" s="33">
        <v>4</v>
      </c>
      <c r="G88" s="33" t="b">
        <v>1</v>
      </c>
      <c r="H88" s="33" t="s">
        <v>159</v>
      </c>
      <c r="I88" s="33">
        <v>82</v>
      </c>
      <c r="J88" s="33" t="str">
        <f t="shared" si="2"/>
        <v>Students</v>
      </c>
      <c r="K88" s="33" t="str">
        <f t="shared" si="3"/>
        <v>HC</v>
      </c>
    </row>
    <row r="89" spans="1:11" x14ac:dyDescent="0.25">
      <c r="A89" s="33" t="s">
        <v>233</v>
      </c>
      <c r="B89" s="33">
        <v>71</v>
      </c>
      <c r="C89" s="33" t="s">
        <v>44</v>
      </c>
      <c r="D89" s="33">
        <v>39</v>
      </c>
      <c r="E89" s="33" t="s">
        <v>20</v>
      </c>
      <c r="F89" s="33">
        <v>3</v>
      </c>
      <c r="G89" s="33" t="b">
        <v>0</v>
      </c>
      <c r="H89" s="33" t="s">
        <v>165</v>
      </c>
      <c r="I89" s="33">
        <v>87</v>
      </c>
      <c r="J89" s="33" t="str">
        <f t="shared" si="2"/>
        <v>Retirees</v>
      </c>
      <c r="K89" s="33" t="str">
        <f t="shared" si="3"/>
        <v>NHC</v>
      </c>
    </row>
    <row r="90" spans="1:11" x14ac:dyDescent="0.25">
      <c r="A90" s="33" t="s">
        <v>234</v>
      </c>
      <c r="B90" s="33">
        <v>22</v>
      </c>
      <c r="C90" s="33" t="s">
        <v>42</v>
      </c>
      <c r="D90" s="33">
        <v>2</v>
      </c>
      <c r="E90" s="33" t="s">
        <v>10</v>
      </c>
      <c r="F90" s="33">
        <v>1</v>
      </c>
      <c r="G90" s="33" t="b">
        <v>0</v>
      </c>
      <c r="H90" s="33" t="s">
        <v>83</v>
      </c>
      <c r="I90" s="33">
        <v>95</v>
      </c>
      <c r="J90" s="33" t="str">
        <f t="shared" si="2"/>
        <v>Young Professionals</v>
      </c>
      <c r="K90" s="33" t="str">
        <f t="shared" si="3"/>
        <v>NHC</v>
      </c>
    </row>
    <row r="91" spans="1:11" x14ac:dyDescent="0.25">
      <c r="A91" s="33" t="s">
        <v>235</v>
      </c>
      <c r="B91" s="33">
        <v>26</v>
      </c>
      <c r="C91" s="33" t="s">
        <v>42</v>
      </c>
      <c r="D91" s="33">
        <v>0</v>
      </c>
      <c r="E91" s="33" t="s">
        <v>20</v>
      </c>
      <c r="F91" s="33">
        <v>2</v>
      </c>
      <c r="G91" s="33" t="b">
        <v>0</v>
      </c>
      <c r="H91" s="33" t="s">
        <v>83</v>
      </c>
      <c r="I91" s="33">
        <v>90</v>
      </c>
      <c r="J91" s="33" t="str">
        <f t="shared" si="2"/>
        <v>Young Professionals</v>
      </c>
      <c r="K91" s="33" t="str">
        <f t="shared" si="3"/>
        <v>NHC</v>
      </c>
    </row>
    <row r="92" spans="1:11" x14ac:dyDescent="0.25">
      <c r="A92" s="33" t="s">
        <v>157</v>
      </c>
      <c r="B92" s="33">
        <v>34</v>
      </c>
      <c r="C92" s="33" t="s">
        <v>42</v>
      </c>
      <c r="D92" s="33">
        <v>8</v>
      </c>
      <c r="E92" s="33" t="s">
        <v>18</v>
      </c>
      <c r="F92" s="33">
        <v>1</v>
      </c>
      <c r="G92" s="33" t="b">
        <v>1</v>
      </c>
      <c r="H92" s="33" t="s">
        <v>83</v>
      </c>
      <c r="I92" s="33">
        <v>71</v>
      </c>
      <c r="J92" s="33" t="str">
        <f t="shared" si="2"/>
        <v>Mid-to-Late Career</v>
      </c>
      <c r="K92" s="33" t="str">
        <f t="shared" si="3"/>
        <v>NHC</v>
      </c>
    </row>
    <row r="93" spans="1:11" x14ac:dyDescent="0.25">
      <c r="A93" s="33" t="s">
        <v>236</v>
      </c>
      <c r="B93" s="33">
        <v>36</v>
      </c>
      <c r="C93" s="33" t="s">
        <v>43</v>
      </c>
      <c r="D93" s="33">
        <v>3</v>
      </c>
      <c r="E93" s="33" t="s">
        <v>14</v>
      </c>
      <c r="F93" s="33">
        <v>4</v>
      </c>
      <c r="G93" s="33" t="b">
        <v>1</v>
      </c>
      <c r="H93" s="33" t="s">
        <v>165</v>
      </c>
      <c r="I93" s="33">
        <v>94</v>
      </c>
      <c r="J93" s="33" t="str">
        <f t="shared" si="2"/>
        <v>Homemakers</v>
      </c>
      <c r="K93" s="33" t="str">
        <f t="shared" si="3"/>
        <v>NHC</v>
      </c>
    </row>
    <row r="94" spans="1:11" x14ac:dyDescent="0.25">
      <c r="A94" s="33" t="s">
        <v>156</v>
      </c>
      <c r="B94" s="33">
        <v>54</v>
      </c>
      <c r="C94" s="33" t="s">
        <v>42</v>
      </c>
      <c r="D94" s="33">
        <v>10</v>
      </c>
      <c r="E94" s="33" t="s">
        <v>20</v>
      </c>
      <c r="F94" s="33">
        <v>0</v>
      </c>
      <c r="G94" s="33" t="b">
        <v>0</v>
      </c>
      <c r="H94" s="33" t="s">
        <v>83</v>
      </c>
      <c r="I94" s="33">
        <v>68</v>
      </c>
      <c r="J94" s="33" t="str">
        <f t="shared" si="2"/>
        <v>Mid-to-Late Career</v>
      </c>
      <c r="K94" s="33" t="str">
        <f t="shared" si="3"/>
        <v>NHC</v>
      </c>
    </row>
    <row r="95" spans="1:11" x14ac:dyDescent="0.25">
      <c r="A95" s="33" t="s">
        <v>237</v>
      </c>
      <c r="B95" s="33">
        <v>30</v>
      </c>
      <c r="C95" s="33" t="s">
        <v>42</v>
      </c>
      <c r="D95" s="33">
        <v>3</v>
      </c>
      <c r="E95" s="33" t="s">
        <v>18</v>
      </c>
      <c r="F95" s="33">
        <v>0</v>
      </c>
      <c r="G95" s="33" t="b">
        <v>0</v>
      </c>
      <c r="H95" s="33" t="s">
        <v>83</v>
      </c>
      <c r="I95" s="33">
        <v>94</v>
      </c>
      <c r="J95" s="33" t="str">
        <f t="shared" si="2"/>
        <v>Young Professionals</v>
      </c>
      <c r="K95" s="33" t="str">
        <f t="shared" si="3"/>
        <v>NHC</v>
      </c>
    </row>
    <row r="96" spans="1:11" x14ac:dyDescent="0.25">
      <c r="A96" s="33" t="s">
        <v>238</v>
      </c>
      <c r="B96" s="33">
        <v>44</v>
      </c>
      <c r="C96" s="33" t="s">
        <v>43</v>
      </c>
      <c r="D96" s="33">
        <v>11</v>
      </c>
      <c r="E96" s="33" t="s">
        <v>14</v>
      </c>
      <c r="F96" s="33">
        <v>4</v>
      </c>
      <c r="G96" s="33" t="b">
        <v>0</v>
      </c>
      <c r="H96" s="33" t="s">
        <v>165</v>
      </c>
      <c r="I96" s="33">
        <v>93</v>
      </c>
      <c r="J96" s="33" t="str">
        <f t="shared" si="2"/>
        <v>Homemakers</v>
      </c>
      <c r="K96" s="33" t="str">
        <f t="shared" si="3"/>
        <v>NHC</v>
      </c>
    </row>
    <row r="97" spans="1:11" x14ac:dyDescent="0.25">
      <c r="A97" s="33" t="s">
        <v>155</v>
      </c>
      <c r="B97" s="33">
        <v>33</v>
      </c>
      <c r="C97" s="33" t="s">
        <v>42</v>
      </c>
      <c r="D97" s="33">
        <v>13</v>
      </c>
      <c r="E97" s="33" t="s">
        <v>8</v>
      </c>
      <c r="F97" s="33">
        <v>2</v>
      </c>
      <c r="G97" s="33" t="b">
        <v>0</v>
      </c>
      <c r="H97" s="33" t="s">
        <v>83</v>
      </c>
      <c r="I97" s="33">
        <v>72</v>
      </c>
      <c r="J97" s="33" t="str">
        <f t="shared" si="2"/>
        <v>Mid-to-Late Career</v>
      </c>
      <c r="K97" s="33" t="str">
        <f t="shared" si="3"/>
        <v>NHC</v>
      </c>
    </row>
    <row r="98" spans="1:11" x14ac:dyDescent="0.25">
      <c r="A98" s="33" t="s">
        <v>239</v>
      </c>
      <c r="B98" s="33">
        <v>21</v>
      </c>
      <c r="C98" s="33" t="s">
        <v>1</v>
      </c>
      <c r="D98" s="33">
        <v>2</v>
      </c>
      <c r="E98" s="33" t="s">
        <v>11</v>
      </c>
      <c r="F98" s="33">
        <v>3</v>
      </c>
      <c r="G98" s="33" t="b">
        <v>1</v>
      </c>
      <c r="H98" s="33" t="s">
        <v>159</v>
      </c>
      <c r="I98" s="33">
        <v>90</v>
      </c>
      <c r="J98" s="33" t="str">
        <f t="shared" si="2"/>
        <v>Students</v>
      </c>
      <c r="K98" s="33" t="str">
        <f t="shared" si="3"/>
        <v>NHC</v>
      </c>
    </row>
    <row r="99" spans="1:11" x14ac:dyDescent="0.25">
      <c r="A99" s="33" t="s">
        <v>240</v>
      </c>
      <c r="B99" s="33">
        <v>18</v>
      </c>
      <c r="C99" s="33" t="s">
        <v>1</v>
      </c>
      <c r="D99" s="33">
        <v>1</v>
      </c>
      <c r="E99" s="33" t="s">
        <v>11</v>
      </c>
      <c r="F99" s="33">
        <v>4</v>
      </c>
      <c r="G99" s="33" t="b">
        <v>1</v>
      </c>
      <c r="H99" s="33" t="s">
        <v>159</v>
      </c>
      <c r="I99" s="33">
        <v>88</v>
      </c>
      <c r="J99" s="33" t="str">
        <f t="shared" si="2"/>
        <v>Students</v>
      </c>
      <c r="K99" s="33" t="str">
        <f t="shared" si="3"/>
        <v>HC</v>
      </c>
    </row>
    <row r="100" spans="1:11" x14ac:dyDescent="0.25">
      <c r="A100" s="33" t="s">
        <v>241</v>
      </c>
      <c r="B100" s="33">
        <v>35</v>
      </c>
      <c r="C100" s="33" t="s">
        <v>43</v>
      </c>
      <c r="D100" s="33">
        <v>18</v>
      </c>
      <c r="E100" s="33" t="s">
        <v>16</v>
      </c>
      <c r="F100" s="33">
        <v>4</v>
      </c>
      <c r="G100" s="33" t="b">
        <v>0</v>
      </c>
      <c r="H100" s="33" t="s">
        <v>165</v>
      </c>
      <c r="I100" s="33">
        <v>92</v>
      </c>
      <c r="J100" s="33" t="str">
        <f t="shared" si="2"/>
        <v>Homemakers</v>
      </c>
      <c r="K100" s="33" t="str">
        <f t="shared" si="3"/>
        <v>HC</v>
      </c>
    </row>
    <row r="101" spans="1:11" x14ac:dyDescent="0.25">
      <c r="A101" s="33" t="s">
        <v>242</v>
      </c>
      <c r="B101" s="33">
        <v>19</v>
      </c>
      <c r="C101" s="33" t="s">
        <v>1</v>
      </c>
      <c r="D101" s="33">
        <v>2</v>
      </c>
      <c r="E101" s="33" t="s">
        <v>11</v>
      </c>
      <c r="F101" s="33">
        <v>5</v>
      </c>
      <c r="G101" s="33" t="b">
        <v>1</v>
      </c>
      <c r="H101" s="33" t="s">
        <v>159</v>
      </c>
      <c r="I101" s="33">
        <v>88</v>
      </c>
      <c r="J101" s="33" t="str">
        <f t="shared" si="2"/>
        <v>Students</v>
      </c>
      <c r="K101" s="33" t="str">
        <f t="shared" si="3"/>
        <v>NHC</v>
      </c>
    </row>
    <row r="102" spans="1:11" x14ac:dyDescent="0.25">
      <c r="A102" s="33" t="s">
        <v>243</v>
      </c>
      <c r="B102" s="33">
        <v>29</v>
      </c>
      <c r="C102" s="33" t="s">
        <v>42</v>
      </c>
      <c r="D102" s="33">
        <v>2</v>
      </c>
      <c r="E102" s="33" t="s">
        <v>13</v>
      </c>
      <c r="F102" s="33">
        <v>0</v>
      </c>
      <c r="G102" s="33" t="b">
        <v>0</v>
      </c>
      <c r="H102" s="33" t="s">
        <v>83</v>
      </c>
      <c r="I102" s="33">
        <v>92</v>
      </c>
      <c r="J102" s="33" t="str">
        <f t="shared" si="2"/>
        <v>Young Professionals</v>
      </c>
      <c r="K102" s="33" t="str">
        <f t="shared" si="3"/>
        <v>HC</v>
      </c>
    </row>
    <row r="103" spans="1:11" x14ac:dyDescent="0.25">
      <c r="A103" s="33" t="s">
        <v>244</v>
      </c>
      <c r="B103" s="33">
        <v>56</v>
      </c>
      <c r="C103" s="33" t="s">
        <v>43</v>
      </c>
      <c r="D103" s="33">
        <v>19</v>
      </c>
      <c r="E103" s="33" t="s">
        <v>8</v>
      </c>
      <c r="F103" s="33">
        <v>5</v>
      </c>
      <c r="G103" s="33" t="b">
        <v>0</v>
      </c>
      <c r="H103" s="33" t="s">
        <v>165</v>
      </c>
      <c r="I103" s="33">
        <v>96</v>
      </c>
      <c r="J103" s="33" t="str">
        <f t="shared" si="2"/>
        <v>Homemakers</v>
      </c>
      <c r="K103" s="33" t="str">
        <f t="shared" si="3"/>
        <v>NHC</v>
      </c>
    </row>
    <row r="104" spans="1:11" x14ac:dyDescent="0.25">
      <c r="A104" s="33" t="s">
        <v>245</v>
      </c>
      <c r="B104" s="33">
        <v>21</v>
      </c>
      <c r="C104" s="33" t="s">
        <v>1</v>
      </c>
      <c r="D104" s="33">
        <v>2</v>
      </c>
      <c r="E104" s="33" t="s">
        <v>11</v>
      </c>
      <c r="F104" s="33">
        <v>5</v>
      </c>
      <c r="G104" s="33" t="b">
        <v>1</v>
      </c>
      <c r="H104" s="33" t="s">
        <v>159</v>
      </c>
      <c r="I104" s="33">
        <v>91</v>
      </c>
      <c r="J104" s="33" t="str">
        <f t="shared" si="2"/>
        <v>Students</v>
      </c>
      <c r="K104" s="33" t="str">
        <f t="shared" si="3"/>
        <v>NHC</v>
      </c>
    </row>
    <row r="105" spans="1:11" x14ac:dyDescent="0.25">
      <c r="A105" s="33" t="s">
        <v>246</v>
      </c>
      <c r="B105" s="33">
        <v>30</v>
      </c>
      <c r="C105" s="33" t="s">
        <v>42</v>
      </c>
      <c r="D105" s="33">
        <v>4</v>
      </c>
      <c r="E105" s="33" t="s">
        <v>8</v>
      </c>
      <c r="F105" s="33">
        <v>2</v>
      </c>
      <c r="G105" s="33" t="b">
        <v>0</v>
      </c>
      <c r="H105" s="33" t="s">
        <v>83</v>
      </c>
      <c r="I105" s="33">
        <v>93</v>
      </c>
      <c r="J105" s="33" t="str">
        <f t="shared" si="2"/>
        <v>Young Professionals</v>
      </c>
      <c r="K105" s="33" t="str">
        <f t="shared" si="3"/>
        <v>HC</v>
      </c>
    </row>
    <row r="106" spans="1:11" x14ac:dyDescent="0.25">
      <c r="A106" s="33" t="s">
        <v>151</v>
      </c>
      <c r="B106" s="33">
        <v>51</v>
      </c>
      <c r="C106" s="33" t="s">
        <v>42</v>
      </c>
      <c r="D106" s="33">
        <v>15</v>
      </c>
      <c r="E106" s="33" t="s">
        <v>11</v>
      </c>
      <c r="F106" s="33">
        <v>1</v>
      </c>
      <c r="G106" s="33" t="b">
        <v>0</v>
      </c>
      <c r="H106" s="33" t="s">
        <v>83</v>
      </c>
      <c r="I106" s="33">
        <v>85</v>
      </c>
      <c r="J106" s="33" t="str">
        <f t="shared" si="2"/>
        <v>Mid-to-Late Career</v>
      </c>
      <c r="K106" s="33" t="str">
        <f t="shared" si="3"/>
        <v>NHC</v>
      </c>
    </row>
    <row r="107" spans="1:11" x14ac:dyDescent="0.25">
      <c r="A107" s="33" t="s">
        <v>247</v>
      </c>
      <c r="B107" s="33">
        <v>21</v>
      </c>
      <c r="C107" s="33" t="s">
        <v>1</v>
      </c>
      <c r="D107" s="33">
        <v>2</v>
      </c>
      <c r="E107" s="33" t="s">
        <v>11</v>
      </c>
      <c r="F107" s="33">
        <v>4</v>
      </c>
      <c r="G107" s="33" t="b">
        <v>1</v>
      </c>
      <c r="H107" s="33" t="s">
        <v>159</v>
      </c>
      <c r="I107" s="33">
        <v>92</v>
      </c>
      <c r="J107" s="33" t="str">
        <f t="shared" si="2"/>
        <v>Students</v>
      </c>
      <c r="K107" s="33" t="str">
        <f t="shared" si="3"/>
        <v>HC</v>
      </c>
    </row>
    <row r="108" spans="1:11" x14ac:dyDescent="0.25">
      <c r="A108" s="33" t="s">
        <v>248</v>
      </c>
      <c r="B108" s="33">
        <v>22</v>
      </c>
      <c r="C108" s="33" t="s">
        <v>42</v>
      </c>
      <c r="D108" s="33">
        <v>4</v>
      </c>
      <c r="E108" s="33" t="s">
        <v>14</v>
      </c>
      <c r="F108" s="33">
        <v>1</v>
      </c>
      <c r="G108" s="33" t="b">
        <v>0</v>
      </c>
      <c r="H108" s="33" t="s">
        <v>83</v>
      </c>
      <c r="I108" s="33">
        <v>94</v>
      </c>
      <c r="J108" s="33" t="str">
        <f t="shared" si="2"/>
        <v>Young Professionals</v>
      </c>
      <c r="K108" s="33" t="str">
        <f t="shared" si="3"/>
        <v>HC</v>
      </c>
    </row>
    <row r="109" spans="1:11" x14ac:dyDescent="0.25">
      <c r="A109" s="33" t="s">
        <v>249</v>
      </c>
      <c r="B109" s="33">
        <v>29</v>
      </c>
      <c r="C109" s="33" t="s">
        <v>42</v>
      </c>
      <c r="D109" s="33">
        <v>3</v>
      </c>
      <c r="E109" s="33" t="s">
        <v>18</v>
      </c>
      <c r="F109" s="33">
        <v>2</v>
      </c>
      <c r="G109" s="33" t="b">
        <v>0</v>
      </c>
      <c r="H109" s="33" t="s">
        <v>83</v>
      </c>
      <c r="I109" s="33">
        <v>93</v>
      </c>
      <c r="J109" s="33" t="str">
        <f t="shared" si="2"/>
        <v>Young Professionals</v>
      </c>
      <c r="K109" s="33" t="str">
        <f t="shared" si="3"/>
        <v>NHC</v>
      </c>
    </row>
    <row r="110" spans="1:11" x14ac:dyDescent="0.25">
      <c r="A110" s="33" t="s">
        <v>150</v>
      </c>
      <c r="B110" s="33">
        <v>50</v>
      </c>
      <c r="C110" s="33" t="s">
        <v>42</v>
      </c>
      <c r="D110" s="33">
        <v>8</v>
      </c>
      <c r="E110" s="33" t="s">
        <v>11</v>
      </c>
      <c r="F110" s="33">
        <v>1</v>
      </c>
      <c r="G110" s="33" t="b">
        <v>0</v>
      </c>
      <c r="H110" s="33" t="s">
        <v>83</v>
      </c>
      <c r="I110" s="33">
        <v>85</v>
      </c>
      <c r="J110" s="33" t="str">
        <f t="shared" si="2"/>
        <v>Mid-to-Late Career</v>
      </c>
      <c r="K110" s="33" t="str">
        <f t="shared" si="3"/>
        <v>NHC</v>
      </c>
    </row>
    <row r="111" spans="1:11" x14ac:dyDescent="0.25">
      <c r="A111" s="33" t="s">
        <v>250</v>
      </c>
      <c r="B111" s="33">
        <v>19</v>
      </c>
      <c r="C111" s="33" t="s">
        <v>1</v>
      </c>
      <c r="D111" s="33">
        <v>2</v>
      </c>
      <c r="E111" s="33" t="s">
        <v>11</v>
      </c>
      <c r="F111" s="33">
        <v>4</v>
      </c>
      <c r="G111" s="33" t="b">
        <v>1</v>
      </c>
      <c r="H111" s="33" t="s">
        <v>159</v>
      </c>
      <c r="I111" s="33">
        <v>91</v>
      </c>
      <c r="J111" s="33" t="str">
        <f t="shared" si="2"/>
        <v>Students</v>
      </c>
      <c r="K111" s="33" t="str">
        <f t="shared" si="3"/>
        <v>HC</v>
      </c>
    </row>
    <row r="112" spans="1:11" x14ac:dyDescent="0.25">
      <c r="A112" s="33" t="s">
        <v>251</v>
      </c>
      <c r="B112" s="33">
        <v>20</v>
      </c>
      <c r="C112" s="33" t="s">
        <v>1</v>
      </c>
      <c r="D112" s="33">
        <v>0</v>
      </c>
      <c r="E112" s="33" t="s">
        <v>11</v>
      </c>
      <c r="F112" s="33">
        <v>4</v>
      </c>
      <c r="G112" s="33" t="b">
        <v>1</v>
      </c>
      <c r="H112" s="33" t="s">
        <v>159</v>
      </c>
      <c r="I112" s="33">
        <v>88</v>
      </c>
      <c r="J112" s="33" t="str">
        <f t="shared" si="2"/>
        <v>Students</v>
      </c>
      <c r="K112" s="33" t="str">
        <f t="shared" si="3"/>
        <v>HC</v>
      </c>
    </row>
    <row r="113" spans="1:11" x14ac:dyDescent="0.25">
      <c r="A113" s="33" t="s">
        <v>252</v>
      </c>
      <c r="B113" s="33">
        <v>69</v>
      </c>
      <c r="C113" s="33" t="s">
        <v>44</v>
      </c>
      <c r="D113" s="33">
        <v>28</v>
      </c>
      <c r="E113" s="33" t="s">
        <v>8</v>
      </c>
      <c r="F113" s="33">
        <v>4</v>
      </c>
      <c r="G113" s="33" t="b">
        <v>0</v>
      </c>
      <c r="H113" s="33" t="s">
        <v>165</v>
      </c>
      <c r="I113" s="33">
        <v>86</v>
      </c>
      <c r="J113" s="33" t="str">
        <f t="shared" si="2"/>
        <v>Retirees</v>
      </c>
      <c r="K113" s="33" t="str">
        <f t="shared" si="3"/>
        <v>HC</v>
      </c>
    </row>
    <row r="114" spans="1:11" x14ac:dyDescent="0.25">
      <c r="A114" s="33" t="s">
        <v>149</v>
      </c>
      <c r="B114" s="33">
        <v>45</v>
      </c>
      <c r="C114" s="33" t="s">
        <v>42</v>
      </c>
      <c r="D114" s="33">
        <v>11</v>
      </c>
      <c r="E114" s="33" t="s">
        <v>11</v>
      </c>
      <c r="F114" s="33">
        <v>2</v>
      </c>
      <c r="G114" s="33" t="b">
        <v>0</v>
      </c>
      <c r="H114" s="33" t="s">
        <v>83</v>
      </c>
      <c r="I114" s="33">
        <v>88</v>
      </c>
      <c r="J114" s="33" t="str">
        <f t="shared" si="2"/>
        <v>Mid-to-Late Career</v>
      </c>
      <c r="K114" s="33" t="str">
        <f t="shared" si="3"/>
        <v>NHC</v>
      </c>
    </row>
    <row r="115" spans="1:11" x14ac:dyDescent="0.25">
      <c r="A115" s="33" t="s">
        <v>253</v>
      </c>
      <c r="B115" s="33">
        <v>20</v>
      </c>
      <c r="C115" s="33" t="s">
        <v>1</v>
      </c>
      <c r="D115" s="33">
        <v>0</v>
      </c>
      <c r="E115" s="33" t="s">
        <v>11</v>
      </c>
      <c r="F115" s="33">
        <v>4</v>
      </c>
      <c r="G115" s="33" t="b">
        <v>1</v>
      </c>
      <c r="H115" s="33" t="s">
        <v>159</v>
      </c>
      <c r="I115" s="33">
        <v>93</v>
      </c>
      <c r="J115" s="33" t="str">
        <f t="shared" si="2"/>
        <v>Students</v>
      </c>
      <c r="K115" s="33" t="str">
        <f t="shared" si="3"/>
        <v>HC</v>
      </c>
    </row>
    <row r="116" spans="1:11" x14ac:dyDescent="0.25">
      <c r="A116" s="33" t="s">
        <v>254</v>
      </c>
      <c r="B116" s="33">
        <v>29</v>
      </c>
      <c r="C116" s="33" t="s">
        <v>43</v>
      </c>
      <c r="D116" s="33">
        <v>2</v>
      </c>
      <c r="E116" s="33" t="s">
        <v>14</v>
      </c>
      <c r="F116" s="33">
        <v>4</v>
      </c>
      <c r="G116" s="33" t="b">
        <v>1</v>
      </c>
      <c r="H116" s="33" t="s">
        <v>165</v>
      </c>
      <c r="I116" s="33">
        <v>94</v>
      </c>
      <c r="J116" s="33" t="str">
        <f t="shared" si="2"/>
        <v>Homemakers</v>
      </c>
      <c r="K116" s="33" t="str">
        <f t="shared" si="3"/>
        <v>HC</v>
      </c>
    </row>
    <row r="117" spans="1:11" x14ac:dyDescent="0.25">
      <c r="A117" s="33" t="s">
        <v>255</v>
      </c>
      <c r="B117" s="33">
        <v>24</v>
      </c>
      <c r="C117" s="33" t="s">
        <v>42</v>
      </c>
      <c r="D117" s="33">
        <v>3</v>
      </c>
      <c r="E117" s="33" t="s">
        <v>23</v>
      </c>
      <c r="F117" s="33">
        <v>0</v>
      </c>
      <c r="G117" s="33" t="b">
        <v>0</v>
      </c>
      <c r="H117" s="33" t="s">
        <v>83</v>
      </c>
      <c r="I117" s="33">
        <v>93</v>
      </c>
      <c r="J117" s="33" t="str">
        <f t="shared" si="2"/>
        <v>Young Professionals</v>
      </c>
      <c r="K117" s="33" t="str">
        <f t="shared" si="3"/>
        <v>NHC</v>
      </c>
    </row>
    <row r="118" spans="1:11" x14ac:dyDescent="0.25">
      <c r="A118" s="33" t="s">
        <v>256</v>
      </c>
      <c r="B118" s="33">
        <v>29</v>
      </c>
      <c r="C118" s="33" t="s">
        <v>42</v>
      </c>
      <c r="D118" s="33">
        <v>0</v>
      </c>
      <c r="E118" s="33" t="s">
        <v>18</v>
      </c>
      <c r="F118" s="33">
        <v>1</v>
      </c>
      <c r="G118" s="33" t="b">
        <v>0</v>
      </c>
      <c r="H118" s="33" t="s">
        <v>83</v>
      </c>
      <c r="I118" s="33">
        <v>95</v>
      </c>
      <c r="J118" s="33" t="str">
        <f t="shared" si="2"/>
        <v>Young Professionals</v>
      </c>
      <c r="K118" s="33" t="str">
        <f t="shared" si="3"/>
        <v>NHC</v>
      </c>
    </row>
    <row r="119" spans="1:11" x14ac:dyDescent="0.25">
      <c r="A119" s="33" t="s">
        <v>257</v>
      </c>
      <c r="B119" s="33">
        <v>25</v>
      </c>
      <c r="C119" s="33" t="s">
        <v>42</v>
      </c>
      <c r="D119" s="33">
        <v>0</v>
      </c>
      <c r="E119" s="33" t="s">
        <v>16</v>
      </c>
      <c r="F119" s="33">
        <v>0</v>
      </c>
      <c r="G119" s="33" t="b">
        <v>0</v>
      </c>
      <c r="H119" s="33" t="s">
        <v>83</v>
      </c>
      <c r="I119" s="33">
        <v>90</v>
      </c>
      <c r="J119" s="33" t="str">
        <f t="shared" si="2"/>
        <v>Young Professionals</v>
      </c>
      <c r="K119" s="33" t="str">
        <f t="shared" si="3"/>
        <v>NHC</v>
      </c>
    </row>
    <row r="120" spans="1:11" x14ac:dyDescent="0.25">
      <c r="A120" s="33" t="s">
        <v>258</v>
      </c>
      <c r="B120" s="33">
        <v>20</v>
      </c>
      <c r="C120" s="33" t="s">
        <v>1</v>
      </c>
      <c r="D120" s="33">
        <v>0</v>
      </c>
      <c r="E120" s="33" t="s">
        <v>11</v>
      </c>
      <c r="F120" s="33">
        <v>4</v>
      </c>
      <c r="G120" s="33" t="b">
        <v>1</v>
      </c>
      <c r="H120" s="33" t="s">
        <v>159</v>
      </c>
      <c r="I120" s="33">
        <v>90</v>
      </c>
      <c r="J120" s="33" t="str">
        <f t="shared" si="2"/>
        <v>Students</v>
      </c>
      <c r="K120" s="33" t="str">
        <f t="shared" si="3"/>
        <v>NHC</v>
      </c>
    </row>
    <row r="121" spans="1:11" x14ac:dyDescent="0.25">
      <c r="A121" s="33" t="s">
        <v>259</v>
      </c>
      <c r="B121" s="33">
        <v>18</v>
      </c>
      <c r="C121" s="33" t="s">
        <v>1</v>
      </c>
      <c r="D121" s="33">
        <v>2</v>
      </c>
      <c r="E121" s="33" t="s">
        <v>11</v>
      </c>
      <c r="F121" s="33">
        <v>5</v>
      </c>
      <c r="G121" s="33" t="b">
        <v>1</v>
      </c>
      <c r="H121" s="33" t="s">
        <v>159</v>
      </c>
      <c r="I121" s="33">
        <v>92</v>
      </c>
      <c r="J121" s="33" t="str">
        <f t="shared" si="2"/>
        <v>Students</v>
      </c>
      <c r="K121" s="33" t="str">
        <f t="shared" si="3"/>
        <v>HC</v>
      </c>
    </row>
    <row r="122" spans="1:11" x14ac:dyDescent="0.25">
      <c r="A122" s="33" t="s">
        <v>260</v>
      </c>
      <c r="B122" s="33">
        <v>29</v>
      </c>
      <c r="C122" s="33" t="s">
        <v>42</v>
      </c>
      <c r="D122" s="33">
        <v>4</v>
      </c>
      <c r="E122" s="33" t="s">
        <v>11</v>
      </c>
      <c r="F122" s="33">
        <v>4</v>
      </c>
      <c r="G122" s="33" t="b">
        <v>0</v>
      </c>
      <c r="H122" s="33" t="s">
        <v>83</v>
      </c>
      <c r="I122" s="33">
        <v>90</v>
      </c>
      <c r="J122" s="33" t="str">
        <f t="shared" si="2"/>
        <v>Young Professionals</v>
      </c>
      <c r="K122" s="33" t="str">
        <f t="shared" si="3"/>
        <v>HC</v>
      </c>
    </row>
    <row r="123" spans="1:11" x14ac:dyDescent="0.25">
      <c r="A123" s="33" t="s">
        <v>261</v>
      </c>
      <c r="B123" s="33">
        <v>19</v>
      </c>
      <c r="C123" s="33" t="s">
        <v>1</v>
      </c>
      <c r="D123" s="33">
        <v>0</v>
      </c>
      <c r="E123" s="33" t="s">
        <v>14</v>
      </c>
      <c r="F123" s="33">
        <v>4</v>
      </c>
      <c r="G123" s="33" t="b">
        <v>0</v>
      </c>
      <c r="H123" s="33" t="s">
        <v>159</v>
      </c>
      <c r="I123" s="33">
        <v>86</v>
      </c>
      <c r="J123" s="33" t="str">
        <f t="shared" si="2"/>
        <v>Students</v>
      </c>
      <c r="K123" s="33" t="str">
        <f t="shared" si="3"/>
        <v>HC</v>
      </c>
    </row>
    <row r="124" spans="1:11" x14ac:dyDescent="0.25">
      <c r="A124" s="33" t="s">
        <v>262</v>
      </c>
      <c r="B124" s="33">
        <v>28</v>
      </c>
      <c r="C124" s="33" t="s">
        <v>42</v>
      </c>
      <c r="D124" s="33">
        <v>3</v>
      </c>
      <c r="E124" s="33" t="s">
        <v>13</v>
      </c>
      <c r="F124" s="33">
        <v>1</v>
      </c>
      <c r="G124" s="33" t="b">
        <v>0</v>
      </c>
      <c r="H124" s="33" t="s">
        <v>83</v>
      </c>
      <c r="I124" s="33">
        <v>92</v>
      </c>
      <c r="J124" s="33" t="str">
        <f t="shared" si="2"/>
        <v>Young Professionals</v>
      </c>
      <c r="K124" s="33" t="str">
        <f t="shared" si="3"/>
        <v>NHC</v>
      </c>
    </row>
    <row r="125" spans="1:11" x14ac:dyDescent="0.25">
      <c r="A125" s="33" t="s">
        <v>263</v>
      </c>
      <c r="B125" s="33">
        <v>18</v>
      </c>
      <c r="C125" s="33" t="s">
        <v>1</v>
      </c>
      <c r="D125" s="33">
        <v>0</v>
      </c>
      <c r="E125" s="33" t="s">
        <v>10</v>
      </c>
      <c r="F125" s="33">
        <v>3</v>
      </c>
      <c r="G125" s="33" t="b">
        <v>1</v>
      </c>
      <c r="H125" s="33" t="s">
        <v>159</v>
      </c>
      <c r="I125" s="33">
        <v>82</v>
      </c>
      <c r="J125" s="33" t="str">
        <f t="shared" si="2"/>
        <v>Students</v>
      </c>
      <c r="K125" s="33" t="str">
        <f t="shared" si="3"/>
        <v>NHC</v>
      </c>
    </row>
    <row r="126" spans="1:11" x14ac:dyDescent="0.25">
      <c r="A126" s="33" t="s">
        <v>264</v>
      </c>
      <c r="B126" s="33">
        <v>28</v>
      </c>
      <c r="C126" s="33" t="s">
        <v>42</v>
      </c>
      <c r="D126" s="33">
        <v>5</v>
      </c>
      <c r="E126" s="33" t="s">
        <v>16</v>
      </c>
      <c r="F126" s="33">
        <v>0</v>
      </c>
      <c r="G126" s="33" t="b">
        <v>0</v>
      </c>
      <c r="H126" s="33" t="s">
        <v>83</v>
      </c>
      <c r="I126" s="33">
        <v>91</v>
      </c>
      <c r="J126" s="33" t="str">
        <f t="shared" si="2"/>
        <v>Young Professionals</v>
      </c>
      <c r="K126" s="33" t="str">
        <f t="shared" si="3"/>
        <v>NHC</v>
      </c>
    </row>
    <row r="127" spans="1:11" x14ac:dyDescent="0.25">
      <c r="A127" s="33" t="s">
        <v>265</v>
      </c>
      <c r="B127" s="33">
        <v>28</v>
      </c>
      <c r="C127" s="33" t="s">
        <v>42</v>
      </c>
      <c r="D127" s="33">
        <v>3</v>
      </c>
      <c r="E127" s="33" t="s">
        <v>23</v>
      </c>
      <c r="F127" s="33">
        <v>1</v>
      </c>
      <c r="G127" s="33" t="b">
        <v>0</v>
      </c>
      <c r="H127" s="33" t="s">
        <v>83</v>
      </c>
      <c r="I127" s="33">
        <v>94</v>
      </c>
      <c r="J127" s="33" t="str">
        <f t="shared" si="2"/>
        <v>Young Professionals</v>
      </c>
      <c r="K127" s="33" t="str">
        <f t="shared" si="3"/>
        <v>NHC</v>
      </c>
    </row>
    <row r="128" spans="1:11" x14ac:dyDescent="0.25">
      <c r="A128" s="33" t="s">
        <v>266</v>
      </c>
      <c r="B128" s="33">
        <v>75</v>
      </c>
      <c r="C128" s="33" t="s">
        <v>44</v>
      </c>
      <c r="D128" s="33">
        <v>35</v>
      </c>
      <c r="E128" s="33" t="s">
        <v>14</v>
      </c>
      <c r="F128" s="33">
        <v>4</v>
      </c>
      <c r="G128" s="33" t="b">
        <v>0</v>
      </c>
      <c r="H128" s="33" t="s">
        <v>165</v>
      </c>
      <c r="I128" s="33">
        <v>88</v>
      </c>
      <c r="J128" s="33" t="str">
        <f t="shared" si="2"/>
        <v>Retirees</v>
      </c>
      <c r="K128" s="33" t="str">
        <f t="shared" si="3"/>
        <v>NHC</v>
      </c>
    </row>
    <row r="129" spans="1:11" x14ac:dyDescent="0.25">
      <c r="A129" s="33" t="s">
        <v>267</v>
      </c>
      <c r="B129" s="33">
        <v>27</v>
      </c>
      <c r="C129" s="33" t="s">
        <v>42</v>
      </c>
      <c r="D129" s="33">
        <v>1</v>
      </c>
      <c r="E129" s="33" t="s">
        <v>11</v>
      </c>
      <c r="F129" s="33">
        <v>2</v>
      </c>
      <c r="G129" s="33" t="b">
        <v>0</v>
      </c>
      <c r="H129" s="33" t="s">
        <v>83</v>
      </c>
      <c r="I129" s="33">
        <v>91</v>
      </c>
      <c r="J129" s="33" t="str">
        <f t="shared" si="2"/>
        <v>Young Professionals</v>
      </c>
      <c r="K129" s="33" t="str">
        <f t="shared" si="3"/>
        <v>NHC</v>
      </c>
    </row>
    <row r="130" spans="1:11" x14ac:dyDescent="0.25">
      <c r="A130" s="33" t="s">
        <v>268</v>
      </c>
      <c r="B130" s="33">
        <v>20</v>
      </c>
      <c r="C130" s="33" t="s">
        <v>1</v>
      </c>
      <c r="D130" s="33">
        <v>1</v>
      </c>
      <c r="E130" s="33" t="s">
        <v>11</v>
      </c>
      <c r="F130" s="33">
        <v>4</v>
      </c>
      <c r="G130" s="33" t="b">
        <v>1</v>
      </c>
      <c r="H130" s="33" t="s">
        <v>159</v>
      </c>
      <c r="I130" s="33">
        <v>91</v>
      </c>
      <c r="J130" s="33" t="str">
        <f t="shared" ref="J130:J193" si="4">IF(C130="Student", "Students", IF(AND(C130="Employed", B130&gt;=22, B130&lt;=30), "Young Professionals", IF(AND(C130="Employed", B130&gt;=31, B130&lt;=55), "Mid-to-Late Career", IF(C130="Retired", "Retirees", "Homemakers"))))</f>
        <v>Students</v>
      </c>
      <c r="K130" s="33" t="str">
        <f t="shared" ref="K130:K193" si="5">IF(E129="Healthcare &amp; Life Sciences", "HC", "NHC")</f>
        <v>HC</v>
      </c>
    </row>
    <row r="131" spans="1:11" x14ac:dyDescent="0.25">
      <c r="A131" s="33" t="s">
        <v>148</v>
      </c>
      <c r="B131" s="33">
        <v>41</v>
      </c>
      <c r="C131" s="33" t="s">
        <v>42</v>
      </c>
      <c r="D131" s="33">
        <v>23</v>
      </c>
      <c r="E131" s="33" t="s">
        <v>11</v>
      </c>
      <c r="F131" s="33">
        <v>2</v>
      </c>
      <c r="G131" s="33" t="b">
        <v>0</v>
      </c>
      <c r="H131" s="33" t="s">
        <v>83</v>
      </c>
      <c r="I131" s="33">
        <v>87</v>
      </c>
      <c r="J131" s="33" t="str">
        <f t="shared" si="4"/>
        <v>Mid-to-Late Career</v>
      </c>
      <c r="K131" s="33" t="str">
        <f t="shared" si="5"/>
        <v>HC</v>
      </c>
    </row>
    <row r="132" spans="1:11" x14ac:dyDescent="0.25">
      <c r="A132" s="33" t="s">
        <v>269</v>
      </c>
      <c r="B132" s="33">
        <v>19</v>
      </c>
      <c r="C132" s="33" t="s">
        <v>1</v>
      </c>
      <c r="D132" s="33">
        <v>2</v>
      </c>
      <c r="E132" s="33" t="s">
        <v>11</v>
      </c>
      <c r="F132" s="33">
        <v>5</v>
      </c>
      <c r="G132" s="33" t="b">
        <v>1</v>
      </c>
      <c r="H132" s="33" t="s">
        <v>159</v>
      </c>
      <c r="I132" s="33">
        <v>91</v>
      </c>
      <c r="J132" s="33" t="str">
        <f t="shared" si="4"/>
        <v>Students</v>
      </c>
      <c r="K132" s="33" t="str">
        <f t="shared" si="5"/>
        <v>HC</v>
      </c>
    </row>
    <row r="133" spans="1:11" x14ac:dyDescent="0.25">
      <c r="A133" s="33" t="s">
        <v>270</v>
      </c>
      <c r="B133" s="33">
        <v>18</v>
      </c>
      <c r="C133" s="33" t="s">
        <v>1</v>
      </c>
      <c r="D133" s="33">
        <v>0</v>
      </c>
      <c r="E133" s="33" t="s">
        <v>11</v>
      </c>
      <c r="F133" s="33">
        <v>4</v>
      </c>
      <c r="G133" s="33" t="b">
        <v>1</v>
      </c>
      <c r="H133" s="33" t="s">
        <v>159</v>
      </c>
      <c r="I133" s="33">
        <v>87</v>
      </c>
      <c r="J133" s="33" t="str">
        <f t="shared" si="4"/>
        <v>Students</v>
      </c>
      <c r="K133" s="33" t="str">
        <f t="shared" si="5"/>
        <v>HC</v>
      </c>
    </row>
    <row r="134" spans="1:11" x14ac:dyDescent="0.25">
      <c r="A134" s="33" t="s">
        <v>271</v>
      </c>
      <c r="B134" s="33">
        <v>54</v>
      </c>
      <c r="C134" s="33" t="s">
        <v>43</v>
      </c>
      <c r="D134" s="33">
        <v>27</v>
      </c>
      <c r="E134" s="33" t="s">
        <v>14</v>
      </c>
      <c r="F134" s="33">
        <v>3</v>
      </c>
      <c r="G134" s="33" t="b">
        <v>0</v>
      </c>
      <c r="H134" s="33" t="s">
        <v>165</v>
      </c>
      <c r="I134" s="33">
        <v>93</v>
      </c>
      <c r="J134" s="33" t="str">
        <f t="shared" si="4"/>
        <v>Homemakers</v>
      </c>
      <c r="K134" s="33" t="str">
        <f t="shared" si="5"/>
        <v>HC</v>
      </c>
    </row>
    <row r="135" spans="1:11" x14ac:dyDescent="0.25">
      <c r="A135" s="33" t="s">
        <v>272</v>
      </c>
      <c r="B135" s="33">
        <v>22</v>
      </c>
      <c r="C135" s="33" t="s">
        <v>42</v>
      </c>
      <c r="D135" s="33">
        <v>1</v>
      </c>
      <c r="E135" s="33" t="s">
        <v>10</v>
      </c>
      <c r="F135" s="33">
        <v>1</v>
      </c>
      <c r="G135" s="33" t="b">
        <v>0</v>
      </c>
      <c r="H135" s="33" t="s">
        <v>83</v>
      </c>
      <c r="I135" s="33">
        <v>92</v>
      </c>
      <c r="J135" s="33" t="str">
        <f t="shared" si="4"/>
        <v>Young Professionals</v>
      </c>
      <c r="K135" s="33" t="str">
        <f t="shared" si="5"/>
        <v>NHC</v>
      </c>
    </row>
    <row r="136" spans="1:11" x14ac:dyDescent="0.25">
      <c r="A136" s="33" t="s">
        <v>273</v>
      </c>
      <c r="B136" s="33">
        <v>20</v>
      </c>
      <c r="C136" s="33" t="s">
        <v>1</v>
      </c>
      <c r="D136" s="33">
        <v>2</v>
      </c>
      <c r="E136" s="33" t="s">
        <v>11</v>
      </c>
      <c r="F136" s="33">
        <v>5</v>
      </c>
      <c r="G136" s="33" t="b">
        <v>1</v>
      </c>
      <c r="H136" s="33" t="s">
        <v>159</v>
      </c>
      <c r="I136" s="33">
        <v>89</v>
      </c>
      <c r="J136" s="33" t="str">
        <f t="shared" si="4"/>
        <v>Students</v>
      </c>
      <c r="K136" s="33" t="str">
        <f t="shared" si="5"/>
        <v>NHC</v>
      </c>
    </row>
    <row r="137" spans="1:11" x14ac:dyDescent="0.25">
      <c r="A137" s="33" t="s">
        <v>274</v>
      </c>
      <c r="B137" s="33">
        <v>18</v>
      </c>
      <c r="C137" s="33" t="s">
        <v>1</v>
      </c>
      <c r="D137" s="33">
        <v>0</v>
      </c>
      <c r="E137" s="33" t="s">
        <v>11</v>
      </c>
      <c r="F137" s="33">
        <v>3</v>
      </c>
      <c r="G137" s="33" t="b">
        <v>1</v>
      </c>
      <c r="H137" s="33" t="s">
        <v>159</v>
      </c>
      <c r="I137" s="33">
        <v>87</v>
      </c>
      <c r="J137" s="33" t="str">
        <f t="shared" si="4"/>
        <v>Students</v>
      </c>
      <c r="K137" s="33" t="str">
        <f t="shared" si="5"/>
        <v>HC</v>
      </c>
    </row>
    <row r="138" spans="1:11" x14ac:dyDescent="0.25">
      <c r="A138" s="33" t="s">
        <v>275</v>
      </c>
      <c r="B138" s="33">
        <v>20</v>
      </c>
      <c r="C138" s="33" t="s">
        <v>1</v>
      </c>
      <c r="D138" s="33">
        <v>0</v>
      </c>
      <c r="E138" s="33" t="s">
        <v>22</v>
      </c>
      <c r="F138" s="33">
        <v>3</v>
      </c>
      <c r="G138" s="33" t="b">
        <v>1</v>
      </c>
      <c r="H138" s="33" t="s">
        <v>159</v>
      </c>
      <c r="I138" s="33">
        <v>86</v>
      </c>
      <c r="J138" s="33" t="str">
        <f t="shared" si="4"/>
        <v>Students</v>
      </c>
      <c r="K138" s="33" t="str">
        <f t="shared" si="5"/>
        <v>HC</v>
      </c>
    </row>
    <row r="139" spans="1:11" x14ac:dyDescent="0.25">
      <c r="A139" s="33" t="s">
        <v>276</v>
      </c>
      <c r="B139" s="33">
        <v>21</v>
      </c>
      <c r="C139" s="33" t="s">
        <v>1</v>
      </c>
      <c r="D139" s="33">
        <v>1</v>
      </c>
      <c r="E139" s="33" t="s">
        <v>11</v>
      </c>
      <c r="F139" s="33">
        <v>4</v>
      </c>
      <c r="G139" s="33" t="b">
        <v>1</v>
      </c>
      <c r="H139" s="33" t="s">
        <v>159</v>
      </c>
      <c r="I139" s="33">
        <v>93</v>
      </c>
      <c r="J139" s="33" t="str">
        <f t="shared" si="4"/>
        <v>Students</v>
      </c>
      <c r="K139" s="33" t="str">
        <f t="shared" si="5"/>
        <v>NHC</v>
      </c>
    </row>
    <row r="140" spans="1:11" x14ac:dyDescent="0.25">
      <c r="A140" s="33" t="s">
        <v>277</v>
      </c>
      <c r="B140" s="33">
        <v>20</v>
      </c>
      <c r="C140" s="33" t="s">
        <v>1</v>
      </c>
      <c r="D140" s="33">
        <v>0</v>
      </c>
      <c r="E140" s="33" t="s">
        <v>11</v>
      </c>
      <c r="F140" s="33">
        <v>4</v>
      </c>
      <c r="G140" s="33" t="b">
        <v>1</v>
      </c>
      <c r="H140" s="33" t="s">
        <v>159</v>
      </c>
      <c r="I140" s="33">
        <v>91</v>
      </c>
      <c r="J140" s="33" t="str">
        <f t="shared" si="4"/>
        <v>Students</v>
      </c>
      <c r="K140" s="33" t="str">
        <f t="shared" si="5"/>
        <v>HC</v>
      </c>
    </row>
    <row r="141" spans="1:11" x14ac:dyDescent="0.25">
      <c r="A141" s="33" t="s">
        <v>278</v>
      </c>
      <c r="B141" s="33">
        <v>25</v>
      </c>
      <c r="C141" s="33" t="s">
        <v>42</v>
      </c>
      <c r="D141" s="33">
        <v>2</v>
      </c>
      <c r="E141" s="33" t="s">
        <v>10</v>
      </c>
      <c r="F141" s="33">
        <v>2</v>
      </c>
      <c r="G141" s="33" t="b">
        <v>0</v>
      </c>
      <c r="H141" s="33" t="s">
        <v>83</v>
      </c>
      <c r="I141" s="33">
        <v>94</v>
      </c>
      <c r="J141" s="33" t="str">
        <f t="shared" si="4"/>
        <v>Young Professionals</v>
      </c>
      <c r="K141" s="33" t="str">
        <f t="shared" si="5"/>
        <v>HC</v>
      </c>
    </row>
    <row r="142" spans="1:11" x14ac:dyDescent="0.25">
      <c r="A142" s="33" t="s">
        <v>279</v>
      </c>
      <c r="B142" s="33">
        <v>21</v>
      </c>
      <c r="C142" s="33" t="s">
        <v>1</v>
      </c>
      <c r="D142" s="33">
        <v>0</v>
      </c>
      <c r="E142" s="33" t="s">
        <v>11</v>
      </c>
      <c r="F142" s="33">
        <v>3</v>
      </c>
      <c r="G142" s="33" t="b">
        <v>1</v>
      </c>
      <c r="H142" s="33" t="s">
        <v>159</v>
      </c>
      <c r="I142" s="33">
        <v>88</v>
      </c>
      <c r="J142" s="33" t="str">
        <f t="shared" si="4"/>
        <v>Students</v>
      </c>
      <c r="K142" s="33" t="str">
        <f t="shared" si="5"/>
        <v>NHC</v>
      </c>
    </row>
    <row r="143" spans="1:11" x14ac:dyDescent="0.25">
      <c r="A143" s="33" t="s">
        <v>280</v>
      </c>
      <c r="B143" s="33">
        <v>23</v>
      </c>
      <c r="C143" s="33" t="s">
        <v>42</v>
      </c>
      <c r="D143" s="33">
        <v>5</v>
      </c>
      <c r="E143" s="33" t="s">
        <v>11</v>
      </c>
      <c r="F143" s="33">
        <v>2</v>
      </c>
      <c r="G143" s="33" t="b">
        <v>0</v>
      </c>
      <c r="H143" s="33" t="s">
        <v>83</v>
      </c>
      <c r="I143" s="33">
        <v>91</v>
      </c>
      <c r="J143" s="33" t="str">
        <f t="shared" si="4"/>
        <v>Young Professionals</v>
      </c>
      <c r="K143" s="33" t="str">
        <f t="shared" si="5"/>
        <v>HC</v>
      </c>
    </row>
    <row r="144" spans="1:11" x14ac:dyDescent="0.25">
      <c r="A144" s="33" t="s">
        <v>281</v>
      </c>
      <c r="B144" s="33">
        <v>39</v>
      </c>
      <c r="C144" s="33" t="s">
        <v>43</v>
      </c>
      <c r="D144" s="33">
        <v>5</v>
      </c>
      <c r="E144" s="33" t="s">
        <v>20</v>
      </c>
      <c r="F144" s="33">
        <v>5</v>
      </c>
      <c r="G144" s="33" t="b">
        <v>0</v>
      </c>
      <c r="H144" s="33" t="s">
        <v>165</v>
      </c>
      <c r="I144" s="33">
        <v>98</v>
      </c>
      <c r="J144" s="33" t="str">
        <f t="shared" si="4"/>
        <v>Homemakers</v>
      </c>
      <c r="K144" s="33" t="str">
        <f t="shared" si="5"/>
        <v>HC</v>
      </c>
    </row>
    <row r="145" spans="1:11" x14ac:dyDescent="0.25">
      <c r="A145" s="33" t="s">
        <v>282</v>
      </c>
      <c r="B145" s="33">
        <v>19</v>
      </c>
      <c r="C145" s="33" t="s">
        <v>1</v>
      </c>
      <c r="D145" s="33">
        <v>2</v>
      </c>
      <c r="E145" s="33" t="s">
        <v>11</v>
      </c>
      <c r="F145" s="33">
        <v>5</v>
      </c>
      <c r="G145" s="33" t="b">
        <v>1</v>
      </c>
      <c r="H145" s="33" t="s">
        <v>159</v>
      </c>
      <c r="I145" s="33">
        <v>91</v>
      </c>
      <c r="J145" s="33" t="str">
        <f t="shared" si="4"/>
        <v>Students</v>
      </c>
      <c r="K145" s="33" t="str">
        <f t="shared" si="5"/>
        <v>NHC</v>
      </c>
    </row>
    <row r="146" spans="1:11" x14ac:dyDescent="0.25">
      <c r="A146" s="33" t="s">
        <v>283</v>
      </c>
      <c r="B146" s="33">
        <v>24</v>
      </c>
      <c r="C146" s="33" t="s">
        <v>42</v>
      </c>
      <c r="D146" s="33">
        <v>1</v>
      </c>
      <c r="E146" s="33" t="s">
        <v>10</v>
      </c>
      <c r="F146" s="33">
        <v>1</v>
      </c>
      <c r="G146" s="33" t="b">
        <v>0</v>
      </c>
      <c r="H146" s="33" t="s">
        <v>83</v>
      </c>
      <c r="I146" s="33">
        <v>90</v>
      </c>
      <c r="J146" s="33" t="str">
        <f t="shared" si="4"/>
        <v>Young Professionals</v>
      </c>
      <c r="K146" s="33" t="str">
        <f t="shared" si="5"/>
        <v>HC</v>
      </c>
    </row>
    <row r="147" spans="1:11" x14ac:dyDescent="0.25">
      <c r="A147" s="33" t="s">
        <v>284</v>
      </c>
      <c r="B147" s="33">
        <v>29</v>
      </c>
      <c r="C147" s="33" t="s">
        <v>42</v>
      </c>
      <c r="D147" s="33">
        <v>0</v>
      </c>
      <c r="E147" s="33" t="s">
        <v>16</v>
      </c>
      <c r="F147" s="33">
        <v>1</v>
      </c>
      <c r="G147" s="33" t="b">
        <v>0</v>
      </c>
      <c r="H147" s="33" t="s">
        <v>83</v>
      </c>
      <c r="I147" s="33">
        <v>90</v>
      </c>
      <c r="J147" s="33" t="str">
        <f t="shared" si="4"/>
        <v>Young Professionals</v>
      </c>
      <c r="K147" s="33" t="str">
        <f t="shared" si="5"/>
        <v>NHC</v>
      </c>
    </row>
    <row r="148" spans="1:11" x14ac:dyDescent="0.25">
      <c r="A148" s="33" t="s">
        <v>285</v>
      </c>
      <c r="B148" s="33">
        <v>19</v>
      </c>
      <c r="C148" s="33" t="s">
        <v>1</v>
      </c>
      <c r="D148" s="33">
        <v>0</v>
      </c>
      <c r="E148" s="33" t="s">
        <v>11</v>
      </c>
      <c r="F148" s="33">
        <v>4</v>
      </c>
      <c r="G148" s="33" t="b">
        <v>1</v>
      </c>
      <c r="H148" s="33" t="s">
        <v>159</v>
      </c>
      <c r="I148" s="33">
        <v>87</v>
      </c>
      <c r="J148" s="33" t="str">
        <f t="shared" si="4"/>
        <v>Students</v>
      </c>
      <c r="K148" s="33" t="str">
        <f t="shared" si="5"/>
        <v>NHC</v>
      </c>
    </row>
    <row r="149" spans="1:11" x14ac:dyDescent="0.25">
      <c r="A149" s="33" t="s">
        <v>286</v>
      </c>
      <c r="B149" s="33">
        <v>27</v>
      </c>
      <c r="C149" s="33" t="s">
        <v>42</v>
      </c>
      <c r="D149" s="33">
        <v>1</v>
      </c>
      <c r="E149" s="33" t="s">
        <v>11</v>
      </c>
      <c r="F149" s="33">
        <v>4</v>
      </c>
      <c r="G149" s="33" t="b">
        <v>0</v>
      </c>
      <c r="H149" s="33" t="s">
        <v>83</v>
      </c>
      <c r="I149" s="33">
        <v>89</v>
      </c>
      <c r="J149" s="33" t="str">
        <f t="shared" si="4"/>
        <v>Young Professionals</v>
      </c>
      <c r="K149" s="33" t="str">
        <f t="shared" si="5"/>
        <v>HC</v>
      </c>
    </row>
    <row r="150" spans="1:11" x14ac:dyDescent="0.25">
      <c r="A150" s="33" t="s">
        <v>287</v>
      </c>
      <c r="B150" s="33">
        <v>24</v>
      </c>
      <c r="C150" s="33" t="s">
        <v>42</v>
      </c>
      <c r="D150" s="33">
        <v>1</v>
      </c>
      <c r="E150" s="33" t="s">
        <v>13</v>
      </c>
      <c r="F150" s="33">
        <v>2</v>
      </c>
      <c r="G150" s="33" t="b">
        <v>0</v>
      </c>
      <c r="H150" s="33" t="s">
        <v>83</v>
      </c>
      <c r="I150" s="33">
        <v>91</v>
      </c>
      <c r="J150" s="33" t="str">
        <f t="shared" si="4"/>
        <v>Young Professionals</v>
      </c>
      <c r="K150" s="33" t="str">
        <f t="shared" si="5"/>
        <v>HC</v>
      </c>
    </row>
    <row r="151" spans="1:11" x14ac:dyDescent="0.25">
      <c r="A151" s="33" t="s">
        <v>288</v>
      </c>
      <c r="B151" s="33">
        <v>22</v>
      </c>
      <c r="C151" s="33" t="s">
        <v>43</v>
      </c>
      <c r="D151" s="33">
        <v>0</v>
      </c>
      <c r="E151" s="33" t="s">
        <v>20</v>
      </c>
      <c r="F151" s="33">
        <v>5</v>
      </c>
      <c r="G151" s="33" t="b">
        <v>0</v>
      </c>
      <c r="H151" s="33" t="s">
        <v>165</v>
      </c>
      <c r="I151" s="33">
        <v>95</v>
      </c>
      <c r="J151" s="33" t="str">
        <f t="shared" si="4"/>
        <v>Homemakers</v>
      </c>
      <c r="K151" s="33" t="str">
        <f t="shared" si="5"/>
        <v>NHC</v>
      </c>
    </row>
    <row r="152" spans="1:11" x14ac:dyDescent="0.25">
      <c r="A152" s="33" t="s">
        <v>289</v>
      </c>
      <c r="B152" s="33">
        <v>18</v>
      </c>
      <c r="C152" s="33" t="s">
        <v>1</v>
      </c>
      <c r="D152" s="33">
        <v>2</v>
      </c>
      <c r="E152" s="33" t="s">
        <v>11</v>
      </c>
      <c r="F152" s="33">
        <v>4</v>
      </c>
      <c r="G152" s="33" t="b">
        <v>1</v>
      </c>
      <c r="H152" s="33" t="s">
        <v>159</v>
      </c>
      <c r="I152" s="33">
        <v>89</v>
      </c>
      <c r="J152" s="33" t="str">
        <f t="shared" si="4"/>
        <v>Students</v>
      </c>
      <c r="K152" s="33" t="str">
        <f t="shared" si="5"/>
        <v>NHC</v>
      </c>
    </row>
    <row r="153" spans="1:11" x14ac:dyDescent="0.25">
      <c r="A153" s="33" t="s">
        <v>290</v>
      </c>
      <c r="B153" s="33">
        <v>20</v>
      </c>
      <c r="C153" s="33" t="s">
        <v>1</v>
      </c>
      <c r="D153" s="33">
        <v>1</v>
      </c>
      <c r="E153" s="33" t="s">
        <v>11</v>
      </c>
      <c r="F153" s="33">
        <v>3</v>
      </c>
      <c r="G153" s="33" t="b">
        <v>1</v>
      </c>
      <c r="H153" s="33" t="s">
        <v>159</v>
      </c>
      <c r="I153" s="33">
        <v>91</v>
      </c>
      <c r="J153" s="33" t="str">
        <f t="shared" si="4"/>
        <v>Students</v>
      </c>
      <c r="K153" s="33" t="str">
        <f t="shared" si="5"/>
        <v>HC</v>
      </c>
    </row>
    <row r="154" spans="1:11" x14ac:dyDescent="0.25">
      <c r="A154" s="33" t="s">
        <v>291</v>
      </c>
      <c r="B154" s="33">
        <v>19</v>
      </c>
      <c r="C154" s="33" t="s">
        <v>1</v>
      </c>
      <c r="D154" s="33">
        <v>1</v>
      </c>
      <c r="E154" s="33" t="s">
        <v>11</v>
      </c>
      <c r="F154" s="33">
        <v>3</v>
      </c>
      <c r="G154" s="33" t="b">
        <v>1</v>
      </c>
      <c r="H154" s="33" t="s">
        <v>159</v>
      </c>
      <c r="I154" s="33">
        <v>92</v>
      </c>
      <c r="J154" s="33" t="str">
        <f t="shared" si="4"/>
        <v>Students</v>
      </c>
      <c r="K154" s="33" t="str">
        <f t="shared" si="5"/>
        <v>HC</v>
      </c>
    </row>
    <row r="155" spans="1:11" x14ac:dyDescent="0.25">
      <c r="A155" s="33" t="s">
        <v>292</v>
      </c>
      <c r="B155" s="33">
        <v>18</v>
      </c>
      <c r="C155" s="33" t="s">
        <v>1</v>
      </c>
      <c r="D155" s="33">
        <v>2</v>
      </c>
      <c r="E155" s="33" t="s">
        <v>11</v>
      </c>
      <c r="F155" s="33">
        <v>4</v>
      </c>
      <c r="G155" s="33" t="b">
        <v>1</v>
      </c>
      <c r="H155" s="33" t="s">
        <v>159</v>
      </c>
      <c r="I155" s="33">
        <v>92</v>
      </c>
      <c r="J155" s="33" t="str">
        <f t="shared" si="4"/>
        <v>Students</v>
      </c>
      <c r="K155" s="33" t="str">
        <f t="shared" si="5"/>
        <v>HC</v>
      </c>
    </row>
    <row r="156" spans="1:11" x14ac:dyDescent="0.25">
      <c r="A156" s="33" t="s">
        <v>293</v>
      </c>
      <c r="B156" s="33">
        <v>36</v>
      </c>
      <c r="C156" s="33" t="s">
        <v>43</v>
      </c>
      <c r="D156" s="33">
        <v>10</v>
      </c>
      <c r="E156" s="33" t="s">
        <v>20</v>
      </c>
      <c r="F156" s="33">
        <v>5</v>
      </c>
      <c r="G156" s="33" t="b">
        <v>1</v>
      </c>
      <c r="H156" s="33" t="s">
        <v>165</v>
      </c>
      <c r="I156" s="33">
        <v>95</v>
      </c>
      <c r="J156" s="33" t="str">
        <f t="shared" si="4"/>
        <v>Homemakers</v>
      </c>
      <c r="K156" s="33" t="str">
        <f t="shared" si="5"/>
        <v>HC</v>
      </c>
    </row>
    <row r="157" spans="1:11" x14ac:dyDescent="0.25">
      <c r="A157" s="33" t="s">
        <v>147</v>
      </c>
      <c r="B157" s="33">
        <v>55</v>
      </c>
      <c r="C157" s="33" t="s">
        <v>42</v>
      </c>
      <c r="D157" s="33">
        <v>13</v>
      </c>
      <c r="E157" s="33" t="s">
        <v>8</v>
      </c>
      <c r="F157" s="33">
        <v>1</v>
      </c>
      <c r="G157" s="33" t="b">
        <v>0</v>
      </c>
      <c r="H157" s="33" t="s">
        <v>83</v>
      </c>
      <c r="I157" s="33">
        <v>68</v>
      </c>
      <c r="J157" s="33" t="str">
        <f t="shared" si="4"/>
        <v>Mid-to-Late Career</v>
      </c>
      <c r="K157" s="33" t="str">
        <f t="shared" si="5"/>
        <v>NHC</v>
      </c>
    </row>
    <row r="158" spans="1:11" x14ac:dyDescent="0.25">
      <c r="A158" s="33" t="s">
        <v>294</v>
      </c>
      <c r="B158" s="33">
        <v>21</v>
      </c>
      <c r="C158" s="33" t="s">
        <v>1</v>
      </c>
      <c r="D158" s="33">
        <v>0</v>
      </c>
      <c r="E158" s="33" t="s">
        <v>11</v>
      </c>
      <c r="F158" s="33">
        <v>3</v>
      </c>
      <c r="G158" s="33" t="b">
        <v>1</v>
      </c>
      <c r="H158" s="33" t="s">
        <v>159</v>
      </c>
      <c r="I158" s="33">
        <v>88</v>
      </c>
      <c r="J158" s="33" t="str">
        <f t="shared" si="4"/>
        <v>Students</v>
      </c>
      <c r="K158" s="33" t="str">
        <f t="shared" si="5"/>
        <v>NHC</v>
      </c>
    </row>
    <row r="159" spans="1:11" x14ac:dyDescent="0.25">
      <c r="A159" s="33" t="s">
        <v>295</v>
      </c>
      <c r="B159" s="33">
        <v>27</v>
      </c>
      <c r="C159" s="33" t="s">
        <v>42</v>
      </c>
      <c r="D159" s="33">
        <v>1</v>
      </c>
      <c r="E159" s="33" t="s">
        <v>11</v>
      </c>
      <c r="F159" s="33">
        <v>3</v>
      </c>
      <c r="G159" s="33" t="b">
        <v>0</v>
      </c>
      <c r="H159" s="33" t="s">
        <v>83</v>
      </c>
      <c r="I159" s="33">
        <v>92</v>
      </c>
      <c r="J159" s="33" t="str">
        <f t="shared" si="4"/>
        <v>Young Professionals</v>
      </c>
      <c r="K159" s="33" t="str">
        <f t="shared" si="5"/>
        <v>HC</v>
      </c>
    </row>
    <row r="160" spans="1:11" x14ac:dyDescent="0.25">
      <c r="A160" s="33" t="s">
        <v>296</v>
      </c>
      <c r="B160" s="33">
        <v>74</v>
      </c>
      <c r="C160" s="33" t="s">
        <v>44</v>
      </c>
      <c r="D160" s="33">
        <v>35</v>
      </c>
      <c r="E160" s="33" t="s">
        <v>11</v>
      </c>
      <c r="F160" s="33">
        <v>6</v>
      </c>
      <c r="G160" s="33" t="b">
        <v>0</v>
      </c>
      <c r="H160" s="33" t="s">
        <v>165</v>
      </c>
      <c r="I160" s="33">
        <v>87</v>
      </c>
      <c r="J160" s="33" t="str">
        <f t="shared" si="4"/>
        <v>Retirees</v>
      </c>
      <c r="K160" s="33" t="str">
        <f t="shared" si="5"/>
        <v>HC</v>
      </c>
    </row>
    <row r="161" spans="1:11" x14ac:dyDescent="0.25">
      <c r="A161" s="33" t="s">
        <v>297</v>
      </c>
      <c r="B161" s="33">
        <v>18</v>
      </c>
      <c r="C161" s="33" t="s">
        <v>1</v>
      </c>
      <c r="D161" s="33">
        <v>0</v>
      </c>
      <c r="E161" s="33" t="s">
        <v>11</v>
      </c>
      <c r="F161" s="33">
        <v>3</v>
      </c>
      <c r="G161" s="33" t="b">
        <v>1</v>
      </c>
      <c r="H161" s="33" t="s">
        <v>159</v>
      </c>
      <c r="I161" s="33">
        <v>90</v>
      </c>
      <c r="J161" s="33" t="str">
        <f t="shared" si="4"/>
        <v>Students</v>
      </c>
      <c r="K161" s="33" t="str">
        <f t="shared" si="5"/>
        <v>HC</v>
      </c>
    </row>
    <row r="162" spans="1:11" x14ac:dyDescent="0.25">
      <c r="A162" s="33" t="s">
        <v>298</v>
      </c>
      <c r="B162" s="33">
        <v>20</v>
      </c>
      <c r="C162" s="33" t="s">
        <v>1</v>
      </c>
      <c r="D162" s="33">
        <v>0</v>
      </c>
      <c r="E162" s="33" t="s">
        <v>11</v>
      </c>
      <c r="F162" s="33">
        <v>4</v>
      </c>
      <c r="G162" s="33" t="b">
        <v>1</v>
      </c>
      <c r="H162" s="33" t="s">
        <v>159</v>
      </c>
      <c r="I162" s="33">
        <v>90</v>
      </c>
      <c r="J162" s="33" t="str">
        <f t="shared" si="4"/>
        <v>Students</v>
      </c>
      <c r="K162" s="33" t="str">
        <f t="shared" si="5"/>
        <v>HC</v>
      </c>
    </row>
    <row r="163" spans="1:11" x14ac:dyDescent="0.25">
      <c r="A163" s="33" t="s">
        <v>299</v>
      </c>
      <c r="B163" s="33">
        <v>28</v>
      </c>
      <c r="C163" s="33" t="s">
        <v>42</v>
      </c>
      <c r="D163" s="33">
        <v>1</v>
      </c>
      <c r="E163" s="33" t="s">
        <v>14</v>
      </c>
      <c r="F163" s="33">
        <v>1</v>
      </c>
      <c r="G163" s="33" t="b">
        <v>0</v>
      </c>
      <c r="H163" s="33" t="s">
        <v>83</v>
      </c>
      <c r="I163" s="33">
        <v>92</v>
      </c>
      <c r="J163" s="33" t="str">
        <f t="shared" si="4"/>
        <v>Young Professionals</v>
      </c>
      <c r="K163" s="33" t="str">
        <f t="shared" si="5"/>
        <v>HC</v>
      </c>
    </row>
    <row r="164" spans="1:11" x14ac:dyDescent="0.25">
      <c r="A164" s="33" t="s">
        <v>300</v>
      </c>
      <c r="B164" s="33">
        <v>65</v>
      </c>
      <c r="C164" s="33" t="s">
        <v>43</v>
      </c>
      <c r="D164" s="33">
        <v>23</v>
      </c>
      <c r="E164" s="33" t="s">
        <v>13</v>
      </c>
      <c r="F164" s="33">
        <v>5</v>
      </c>
      <c r="G164" s="33" t="b">
        <v>0</v>
      </c>
      <c r="H164" s="33" t="s">
        <v>165</v>
      </c>
      <c r="I164" s="33">
        <v>96</v>
      </c>
      <c r="J164" s="33" t="str">
        <f t="shared" si="4"/>
        <v>Homemakers</v>
      </c>
      <c r="K164" s="33" t="str">
        <f t="shared" si="5"/>
        <v>NHC</v>
      </c>
    </row>
    <row r="165" spans="1:11" x14ac:dyDescent="0.25">
      <c r="A165" s="33" t="s">
        <v>301</v>
      </c>
      <c r="B165" s="33">
        <v>21</v>
      </c>
      <c r="C165" s="33" t="s">
        <v>1</v>
      </c>
      <c r="D165" s="33">
        <v>2</v>
      </c>
      <c r="E165" s="33" t="s">
        <v>11</v>
      </c>
      <c r="F165" s="33">
        <v>5</v>
      </c>
      <c r="G165" s="33" t="b">
        <v>1</v>
      </c>
      <c r="H165" s="33" t="s">
        <v>159</v>
      </c>
      <c r="I165" s="33">
        <v>92</v>
      </c>
      <c r="J165" s="33" t="str">
        <f t="shared" si="4"/>
        <v>Students</v>
      </c>
      <c r="K165" s="33" t="str">
        <f t="shared" si="5"/>
        <v>NHC</v>
      </c>
    </row>
    <row r="166" spans="1:11" x14ac:dyDescent="0.25">
      <c r="A166" s="33" t="s">
        <v>302</v>
      </c>
      <c r="B166" s="33">
        <v>53</v>
      </c>
      <c r="C166" s="33" t="s">
        <v>43</v>
      </c>
      <c r="D166" s="33">
        <v>23</v>
      </c>
      <c r="E166" s="33" t="s">
        <v>20</v>
      </c>
      <c r="F166" s="33">
        <v>3</v>
      </c>
      <c r="G166" s="33" t="b">
        <v>0</v>
      </c>
      <c r="H166" s="33" t="s">
        <v>165</v>
      </c>
      <c r="I166" s="33">
        <v>98</v>
      </c>
      <c r="J166" s="33" t="str">
        <f t="shared" si="4"/>
        <v>Homemakers</v>
      </c>
      <c r="K166" s="33" t="str">
        <f t="shared" si="5"/>
        <v>HC</v>
      </c>
    </row>
    <row r="167" spans="1:11" x14ac:dyDescent="0.25">
      <c r="A167" s="33" t="s">
        <v>303</v>
      </c>
      <c r="B167" s="33">
        <v>63</v>
      </c>
      <c r="C167" s="33" t="s">
        <v>43</v>
      </c>
      <c r="D167" s="33">
        <v>40</v>
      </c>
      <c r="E167" s="33" t="s">
        <v>14</v>
      </c>
      <c r="F167" s="33">
        <v>4</v>
      </c>
      <c r="G167" s="33" t="b">
        <v>0</v>
      </c>
      <c r="H167" s="33" t="s">
        <v>165</v>
      </c>
      <c r="I167" s="33">
        <v>95</v>
      </c>
      <c r="J167" s="33" t="str">
        <f t="shared" si="4"/>
        <v>Homemakers</v>
      </c>
      <c r="K167" s="33" t="str">
        <f t="shared" si="5"/>
        <v>NHC</v>
      </c>
    </row>
    <row r="168" spans="1:11" x14ac:dyDescent="0.25">
      <c r="A168" s="33" t="s">
        <v>304</v>
      </c>
      <c r="B168" s="33">
        <v>18</v>
      </c>
      <c r="C168" s="33" t="s">
        <v>1</v>
      </c>
      <c r="D168" s="33">
        <v>1</v>
      </c>
      <c r="E168" s="33" t="s">
        <v>11</v>
      </c>
      <c r="F168" s="33">
        <v>4</v>
      </c>
      <c r="G168" s="33" t="b">
        <v>1</v>
      </c>
      <c r="H168" s="33" t="s">
        <v>159</v>
      </c>
      <c r="I168" s="33">
        <v>87</v>
      </c>
      <c r="J168" s="33" t="str">
        <f t="shared" si="4"/>
        <v>Students</v>
      </c>
      <c r="K168" s="33" t="str">
        <f t="shared" si="5"/>
        <v>NHC</v>
      </c>
    </row>
    <row r="169" spans="1:11" x14ac:dyDescent="0.25">
      <c r="A169" s="33" t="s">
        <v>305</v>
      </c>
      <c r="B169" s="33">
        <v>20</v>
      </c>
      <c r="C169" s="33" t="s">
        <v>1</v>
      </c>
      <c r="D169" s="33">
        <v>0</v>
      </c>
      <c r="E169" s="33" t="s">
        <v>11</v>
      </c>
      <c r="F169" s="33">
        <v>4</v>
      </c>
      <c r="G169" s="33" t="b">
        <v>1</v>
      </c>
      <c r="H169" s="33" t="s">
        <v>159</v>
      </c>
      <c r="I169" s="33">
        <v>91</v>
      </c>
      <c r="J169" s="33" t="str">
        <f t="shared" si="4"/>
        <v>Students</v>
      </c>
      <c r="K169" s="33" t="str">
        <f t="shared" si="5"/>
        <v>HC</v>
      </c>
    </row>
    <row r="170" spans="1:11" x14ac:dyDescent="0.25">
      <c r="A170" s="33" t="s">
        <v>306</v>
      </c>
      <c r="B170" s="33">
        <v>35</v>
      </c>
      <c r="C170" s="33" t="s">
        <v>43</v>
      </c>
      <c r="D170" s="33">
        <v>14</v>
      </c>
      <c r="E170" s="33" t="s">
        <v>14</v>
      </c>
      <c r="F170" s="33">
        <v>3</v>
      </c>
      <c r="G170" s="33" t="b">
        <v>0</v>
      </c>
      <c r="H170" s="33" t="s">
        <v>165</v>
      </c>
      <c r="I170" s="33">
        <v>97</v>
      </c>
      <c r="J170" s="33" t="str">
        <f t="shared" si="4"/>
        <v>Homemakers</v>
      </c>
      <c r="K170" s="33" t="str">
        <f t="shared" si="5"/>
        <v>HC</v>
      </c>
    </row>
    <row r="171" spans="1:11" x14ac:dyDescent="0.25">
      <c r="A171" s="33" t="s">
        <v>307</v>
      </c>
      <c r="B171" s="33">
        <v>18</v>
      </c>
      <c r="C171" s="33" t="s">
        <v>1</v>
      </c>
      <c r="D171" s="33">
        <v>2</v>
      </c>
      <c r="E171" s="33" t="s">
        <v>11</v>
      </c>
      <c r="F171" s="33">
        <v>3</v>
      </c>
      <c r="G171" s="33" t="b">
        <v>1</v>
      </c>
      <c r="H171" s="33" t="s">
        <v>159</v>
      </c>
      <c r="I171" s="33">
        <v>91</v>
      </c>
      <c r="J171" s="33" t="str">
        <f t="shared" si="4"/>
        <v>Students</v>
      </c>
      <c r="K171" s="33" t="str">
        <f t="shared" si="5"/>
        <v>NHC</v>
      </c>
    </row>
    <row r="172" spans="1:11" x14ac:dyDescent="0.25">
      <c r="A172" s="33" t="s">
        <v>308</v>
      </c>
      <c r="B172" s="33">
        <v>21</v>
      </c>
      <c r="C172" s="33" t="s">
        <v>1</v>
      </c>
      <c r="D172" s="33">
        <v>1</v>
      </c>
      <c r="E172" s="33" t="s">
        <v>11</v>
      </c>
      <c r="F172" s="33">
        <v>5</v>
      </c>
      <c r="G172" s="33" t="b">
        <v>1</v>
      </c>
      <c r="H172" s="33" t="s">
        <v>159</v>
      </c>
      <c r="I172" s="33">
        <v>90</v>
      </c>
      <c r="J172" s="33" t="str">
        <f t="shared" si="4"/>
        <v>Students</v>
      </c>
      <c r="K172" s="33" t="str">
        <f t="shared" si="5"/>
        <v>HC</v>
      </c>
    </row>
    <row r="173" spans="1:11" x14ac:dyDescent="0.25">
      <c r="A173" s="33" t="s">
        <v>309</v>
      </c>
      <c r="B173" s="33">
        <v>21</v>
      </c>
      <c r="C173" s="33" t="s">
        <v>1</v>
      </c>
      <c r="D173" s="33">
        <v>1</v>
      </c>
      <c r="E173" s="33" t="s">
        <v>16</v>
      </c>
      <c r="F173" s="33">
        <v>5</v>
      </c>
      <c r="G173" s="33" t="b">
        <v>1</v>
      </c>
      <c r="H173" s="33" t="s">
        <v>159</v>
      </c>
      <c r="I173" s="33">
        <v>88</v>
      </c>
      <c r="J173" s="33" t="str">
        <f t="shared" si="4"/>
        <v>Students</v>
      </c>
      <c r="K173" s="33" t="str">
        <f t="shared" si="5"/>
        <v>HC</v>
      </c>
    </row>
    <row r="174" spans="1:11" x14ac:dyDescent="0.25">
      <c r="A174" s="33" t="s">
        <v>310</v>
      </c>
      <c r="B174" s="33">
        <v>46</v>
      </c>
      <c r="C174" s="33" t="s">
        <v>43</v>
      </c>
      <c r="D174" s="33">
        <v>2</v>
      </c>
      <c r="E174" s="33" t="s">
        <v>22</v>
      </c>
      <c r="F174" s="33">
        <v>3</v>
      </c>
      <c r="G174" s="33" t="b">
        <v>0</v>
      </c>
      <c r="H174" s="33" t="s">
        <v>165</v>
      </c>
      <c r="I174" s="33">
        <v>94</v>
      </c>
      <c r="J174" s="33" t="str">
        <f t="shared" si="4"/>
        <v>Homemakers</v>
      </c>
      <c r="K174" s="33" t="str">
        <f t="shared" si="5"/>
        <v>NHC</v>
      </c>
    </row>
    <row r="175" spans="1:11" x14ac:dyDescent="0.25">
      <c r="A175" s="33" t="s">
        <v>311</v>
      </c>
      <c r="B175" s="33">
        <v>18</v>
      </c>
      <c r="C175" s="33" t="s">
        <v>1</v>
      </c>
      <c r="D175" s="33">
        <v>1</v>
      </c>
      <c r="E175" s="33" t="s">
        <v>11</v>
      </c>
      <c r="F175" s="33">
        <v>5</v>
      </c>
      <c r="G175" s="33" t="b">
        <v>1</v>
      </c>
      <c r="H175" s="33" t="s">
        <v>159</v>
      </c>
      <c r="I175" s="33">
        <v>88</v>
      </c>
      <c r="J175" s="33" t="str">
        <f t="shared" si="4"/>
        <v>Students</v>
      </c>
      <c r="K175" s="33" t="str">
        <f t="shared" si="5"/>
        <v>NHC</v>
      </c>
    </row>
    <row r="176" spans="1:11" x14ac:dyDescent="0.25">
      <c r="A176" s="33" t="s">
        <v>312</v>
      </c>
      <c r="B176" s="33">
        <v>18</v>
      </c>
      <c r="C176" s="33" t="s">
        <v>1</v>
      </c>
      <c r="D176" s="33">
        <v>1</v>
      </c>
      <c r="E176" s="33" t="s">
        <v>11</v>
      </c>
      <c r="F176" s="33">
        <v>5</v>
      </c>
      <c r="G176" s="33" t="b">
        <v>1</v>
      </c>
      <c r="H176" s="33" t="s">
        <v>159</v>
      </c>
      <c r="I176" s="33">
        <v>87</v>
      </c>
      <c r="J176" s="33" t="str">
        <f t="shared" si="4"/>
        <v>Students</v>
      </c>
      <c r="K176" s="33" t="str">
        <f t="shared" si="5"/>
        <v>HC</v>
      </c>
    </row>
    <row r="177" spans="1:11" x14ac:dyDescent="0.25">
      <c r="A177" s="33" t="s">
        <v>313</v>
      </c>
      <c r="B177" s="33">
        <v>21</v>
      </c>
      <c r="C177" s="33" t="s">
        <v>1</v>
      </c>
      <c r="D177" s="33">
        <v>2</v>
      </c>
      <c r="E177" s="33" t="s">
        <v>13</v>
      </c>
      <c r="F177" s="33">
        <v>3</v>
      </c>
      <c r="G177" s="33" t="b">
        <v>1</v>
      </c>
      <c r="H177" s="33" t="s">
        <v>159</v>
      </c>
      <c r="I177" s="33">
        <v>83</v>
      </c>
      <c r="J177" s="33" t="str">
        <f t="shared" si="4"/>
        <v>Students</v>
      </c>
      <c r="K177" s="33" t="str">
        <f t="shared" si="5"/>
        <v>HC</v>
      </c>
    </row>
    <row r="178" spans="1:11" x14ac:dyDescent="0.25">
      <c r="A178" s="33" t="s">
        <v>146</v>
      </c>
      <c r="B178" s="33">
        <v>48</v>
      </c>
      <c r="C178" s="33" t="s">
        <v>42</v>
      </c>
      <c r="D178" s="33">
        <v>9</v>
      </c>
      <c r="E178" s="33" t="s">
        <v>22</v>
      </c>
      <c r="F178" s="33">
        <v>1</v>
      </c>
      <c r="G178" s="33" t="b">
        <v>1</v>
      </c>
      <c r="H178" s="33" t="s">
        <v>83</v>
      </c>
      <c r="I178" s="33">
        <v>69</v>
      </c>
      <c r="J178" s="33" t="str">
        <f t="shared" si="4"/>
        <v>Mid-to-Late Career</v>
      </c>
      <c r="K178" s="33" t="str">
        <f t="shared" si="5"/>
        <v>NHC</v>
      </c>
    </row>
    <row r="179" spans="1:11" x14ac:dyDescent="0.25">
      <c r="A179" s="33" t="s">
        <v>314</v>
      </c>
      <c r="B179" s="33">
        <v>21</v>
      </c>
      <c r="C179" s="33" t="s">
        <v>1</v>
      </c>
      <c r="D179" s="33">
        <v>0</v>
      </c>
      <c r="E179" s="33" t="s">
        <v>8</v>
      </c>
      <c r="F179" s="33">
        <v>3</v>
      </c>
      <c r="G179" s="33" t="b">
        <v>0</v>
      </c>
      <c r="H179" s="33" t="s">
        <v>159</v>
      </c>
      <c r="I179" s="33">
        <v>82</v>
      </c>
      <c r="J179" s="33" t="str">
        <f t="shared" si="4"/>
        <v>Students</v>
      </c>
      <c r="K179" s="33" t="str">
        <f t="shared" si="5"/>
        <v>NHC</v>
      </c>
    </row>
    <row r="180" spans="1:11" x14ac:dyDescent="0.25">
      <c r="A180" s="33" t="s">
        <v>315</v>
      </c>
      <c r="B180" s="33">
        <v>19</v>
      </c>
      <c r="C180" s="33" t="s">
        <v>1</v>
      </c>
      <c r="D180" s="33">
        <v>0</v>
      </c>
      <c r="E180" s="33" t="s">
        <v>11</v>
      </c>
      <c r="F180" s="33">
        <v>5</v>
      </c>
      <c r="G180" s="33" t="b">
        <v>1</v>
      </c>
      <c r="H180" s="33" t="s">
        <v>159</v>
      </c>
      <c r="I180" s="33">
        <v>87</v>
      </c>
      <c r="J180" s="33" t="str">
        <f t="shared" si="4"/>
        <v>Students</v>
      </c>
      <c r="K180" s="33" t="str">
        <f t="shared" si="5"/>
        <v>NHC</v>
      </c>
    </row>
    <row r="181" spans="1:11" x14ac:dyDescent="0.25">
      <c r="A181" s="33" t="s">
        <v>145</v>
      </c>
      <c r="B181" s="33">
        <v>45</v>
      </c>
      <c r="C181" s="33" t="s">
        <v>42</v>
      </c>
      <c r="D181" s="33">
        <v>8</v>
      </c>
      <c r="E181" s="33" t="s">
        <v>13</v>
      </c>
      <c r="F181" s="33">
        <v>0</v>
      </c>
      <c r="G181" s="33" t="b">
        <v>0</v>
      </c>
      <c r="H181" s="33" t="s">
        <v>83</v>
      </c>
      <c r="I181" s="33">
        <v>68</v>
      </c>
      <c r="J181" s="33" t="str">
        <f t="shared" si="4"/>
        <v>Mid-to-Late Career</v>
      </c>
      <c r="K181" s="33" t="str">
        <f t="shared" si="5"/>
        <v>HC</v>
      </c>
    </row>
    <row r="182" spans="1:11" x14ac:dyDescent="0.25">
      <c r="A182" s="33" t="s">
        <v>144</v>
      </c>
      <c r="B182" s="33">
        <v>45</v>
      </c>
      <c r="C182" s="33" t="s">
        <v>42</v>
      </c>
      <c r="D182" s="33">
        <v>20</v>
      </c>
      <c r="E182" s="33" t="s">
        <v>16</v>
      </c>
      <c r="F182" s="33">
        <v>1</v>
      </c>
      <c r="G182" s="33" t="b">
        <v>0</v>
      </c>
      <c r="H182" s="33" t="s">
        <v>83</v>
      </c>
      <c r="I182" s="33">
        <v>69</v>
      </c>
      <c r="J182" s="33" t="str">
        <f t="shared" si="4"/>
        <v>Mid-to-Late Career</v>
      </c>
      <c r="K182" s="33" t="str">
        <f t="shared" si="5"/>
        <v>NHC</v>
      </c>
    </row>
    <row r="183" spans="1:11" x14ac:dyDescent="0.25">
      <c r="A183" s="33" t="s">
        <v>316</v>
      </c>
      <c r="B183" s="33">
        <v>18</v>
      </c>
      <c r="C183" s="33" t="s">
        <v>1</v>
      </c>
      <c r="D183" s="33">
        <v>1</v>
      </c>
      <c r="E183" s="33" t="s">
        <v>18</v>
      </c>
      <c r="F183" s="33">
        <v>4</v>
      </c>
      <c r="G183" s="33" t="b">
        <v>0</v>
      </c>
      <c r="H183" s="33" t="s">
        <v>159</v>
      </c>
      <c r="I183" s="33">
        <v>86</v>
      </c>
      <c r="J183" s="33" t="str">
        <f t="shared" si="4"/>
        <v>Students</v>
      </c>
      <c r="K183" s="33" t="str">
        <f t="shared" si="5"/>
        <v>NHC</v>
      </c>
    </row>
    <row r="184" spans="1:11" x14ac:dyDescent="0.25">
      <c r="A184" s="33" t="s">
        <v>317</v>
      </c>
      <c r="B184" s="33">
        <v>56</v>
      </c>
      <c r="C184" s="33" t="s">
        <v>44</v>
      </c>
      <c r="D184" s="33">
        <v>36</v>
      </c>
      <c r="E184" s="33" t="s">
        <v>11</v>
      </c>
      <c r="F184" s="33">
        <v>6</v>
      </c>
      <c r="G184" s="33" t="b">
        <v>0</v>
      </c>
      <c r="H184" s="33" t="s">
        <v>165</v>
      </c>
      <c r="I184" s="33">
        <v>86</v>
      </c>
      <c r="J184" s="33" t="str">
        <f t="shared" si="4"/>
        <v>Retirees</v>
      </c>
      <c r="K184" s="33" t="str">
        <f t="shared" si="5"/>
        <v>NHC</v>
      </c>
    </row>
    <row r="185" spans="1:11" x14ac:dyDescent="0.25">
      <c r="A185" s="33" t="s">
        <v>318</v>
      </c>
      <c r="B185" s="33">
        <v>30</v>
      </c>
      <c r="C185" s="33" t="s">
        <v>42</v>
      </c>
      <c r="D185" s="33">
        <v>3</v>
      </c>
      <c r="E185" s="33" t="s">
        <v>22</v>
      </c>
      <c r="F185" s="33">
        <v>1</v>
      </c>
      <c r="G185" s="33" t="b">
        <v>0</v>
      </c>
      <c r="H185" s="33" t="s">
        <v>83</v>
      </c>
      <c r="I185" s="33">
        <v>94</v>
      </c>
      <c r="J185" s="33" t="str">
        <f t="shared" si="4"/>
        <v>Young Professionals</v>
      </c>
      <c r="K185" s="33" t="str">
        <f t="shared" si="5"/>
        <v>HC</v>
      </c>
    </row>
    <row r="186" spans="1:11" x14ac:dyDescent="0.25">
      <c r="A186" s="33" t="s">
        <v>319</v>
      </c>
      <c r="B186" s="33">
        <v>49</v>
      </c>
      <c r="C186" s="33" t="s">
        <v>43</v>
      </c>
      <c r="D186" s="33">
        <v>28</v>
      </c>
      <c r="E186" s="33" t="s">
        <v>14</v>
      </c>
      <c r="F186" s="33">
        <v>5</v>
      </c>
      <c r="G186" s="33" t="b">
        <v>0</v>
      </c>
      <c r="H186" s="33" t="s">
        <v>165</v>
      </c>
      <c r="I186" s="33">
        <v>98</v>
      </c>
      <c r="J186" s="33" t="str">
        <f t="shared" si="4"/>
        <v>Homemakers</v>
      </c>
      <c r="K186" s="33" t="str">
        <f t="shared" si="5"/>
        <v>NHC</v>
      </c>
    </row>
    <row r="187" spans="1:11" x14ac:dyDescent="0.25">
      <c r="A187" s="33" t="s">
        <v>320</v>
      </c>
      <c r="B187" s="33">
        <v>18</v>
      </c>
      <c r="C187" s="33" t="s">
        <v>1</v>
      </c>
      <c r="D187" s="33">
        <v>2</v>
      </c>
      <c r="E187" s="33" t="s">
        <v>11</v>
      </c>
      <c r="F187" s="33">
        <v>3</v>
      </c>
      <c r="G187" s="33" t="b">
        <v>1</v>
      </c>
      <c r="H187" s="33" t="s">
        <v>159</v>
      </c>
      <c r="I187" s="33">
        <v>93</v>
      </c>
      <c r="J187" s="33" t="str">
        <f t="shared" si="4"/>
        <v>Students</v>
      </c>
      <c r="K187" s="33" t="str">
        <f t="shared" si="5"/>
        <v>NHC</v>
      </c>
    </row>
    <row r="188" spans="1:11" x14ac:dyDescent="0.25">
      <c r="A188" s="33" t="s">
        <v>143</v>
      </c>
      <c r="B188" s="33">
        <v>48</v>
      </c>
      <c r="C188" s="33" t="s">
        <v>42</v>
      </c>
      <c r="D188" s="33">
        <v>17</v>
      </c>
      <c r="E188" s="33" t="s">
        <v>23</v>
      </c>
      <c r="F188" s="33">
        <v>2</v>
      </c>
      <c r="G188" s="33" t="b">
        <v>0</v>
      </c>
      <c r="H188" s="33" t="s">
        <v>83</v>
      </c>
      <c r="I188" s="33">
        <v>72</v>
      </c>
      <c r="J188" s="33" t="str">
        <f t="shared" si="4"/>
        <v>Mid-to-Late Career</v>
      </c>
      <c r="K188" s="33" t="str">
        <f t="shared" si="5"/>
        <v>HC</v>
      </c>
    </row>
    <row r="189" spans="1:11" x14ac:dyDescent="0.25">
      <c r="A189" s="33" t="s">
        <v>321</v>
      </c>
      <c r="B189" s="33">
        <v>18</v>
      </c>
      <c r="C189" s="33" t="s">
        <v>1</v>
      </c>
      <c r="D189" s="33">
        <v>2</v>
      </c>
      <c r="E189" s="33" t="s">
        <v>11</v>
      </c>
      <c r="F189" s="33">
        <v>5</v>
      </c>
      <c r="G189" s="33" t="b">
        <v>1</v>
      </c>
      <c r="H189" s="33" t="s">
        <v>159</v>
      </c>
      <c r="I189" s="33">
        <v>89</v>
      </c>
      <c r="J189" s="33" t="str">
        <f t="shared" si="4"/>
        <v>Students</v>
      </c>
      <c r="K189" s="33" t="str">
        <f t="shared" si="5"/>
        <v>NHC</v>
      </c>
    </row>
    <row r="190" spans="1:11" x14ac:dyDescent="0.25">
      <c r="A190" s="33" t="s">
        <v>322</v>
      </c>
      <c r="B190" s="33">
        <v>27</v>
      </c>
      <c r="C190" s="33" t="s">
        <v>42</v>
      </c>
      <c r="D190" s="33">
        <v>4</v>
      </c>
      <c r="E190" s="33" t="s">
        <v>11</v>
      </c>
      <c r="F190" s="33">
        <v>3</v>
      </c>
      <c r="G190" s="33" t="b">
        <v>0</v>
      </c>
      <c r="H190" s="33" t="s">
        <v>83</v>
      </c>
      <c r="I190" s="33">
        <v>92</v>
      </c>
      <c r="J190" s="33" t="str">
        <f t="shared" si="4"/>
        <v>Young Professionals</v>
      </c>
      <c r="K190" s="33" t="str">
        <f t="shared" si="5"/>
        <v>HC</v>
      </c>
    </row>
    <row r="191" spans="1:11" x14ac:dyDescent="0.25">
      <c r="A191" s="33" t="s">
        <v>323</v>
      </c>
      <c r="B191" s="33">
        <v>21</v>
      </c>
      <c r="C191" s="33" t="s">
        <v>1</v>
      </c>
      <c r="D191" s="33">
        <v>1</v>
      </c>
      <c r="E191" s="33" t="s">
        <v>16</v>
      </c>
      <c r="F191" s="33">
        <v>5</v>
      </c>
      <c r="G191" s="33" t="b">
        <v>0</v>
      </c>
      <c r="H191" s="33" t="s">
        <v>159</v>
      </c>
      <c r="I191" s="33">
        <v>84</v>
      </c>
      <c r="J191" s="33" t="str">
        <f t="shared" si="4"/>
        <v>Students</v>
      </c>
      <c r="K191" s="33" t="str">
        <f t="shared" si="5"/>
        <v>HC</v>
      </c>
    </row>
    <row r="192" spans="1:11" x14ac:dyDescent="0.25">
      <c r="A192" s="33" t="s">
        <v>324</v>
      </c>
      <c r="B192" s="33">
        <v>37</v>
      </c>
      <c r="C192" s="33" t="s">
        <v>43</v>
      </c>
      <c r="D192" s="33">
        <v>14</v>
      </c>
      <c r="E192" s="33" t="s">
        <v>22</v>
      </c>
      <c r="F192" s="33">
        <v>3</v>
      </c>
      <c r="G192" s="33" t="b">
        <v>1</v>
      </c>
      <c r="H192" s="33" t="s">
        <v>165</v>
      </c>
      <c r="I192" s="33">
        <v>97</v>
      </c>
      <c r="J192" s="33" t="str">
        <f t="shared" si="4"/>
        <v>Homemakers</v>
      </c>
      <c r="K192" s="33" t="str">
        <f t="shared" si="5"/>
        <v>NHC</v>
      </c>
    </row>
    <row r="193" spans="1:11" x14ac:dyDescent="0.25">
      <c r="A193" s="33" t="s">
        <v>142</v>
      </c>
      <c r="B193" s="33">
        <v>51</v>
      </c>
      <c r="C193" s="33" t="s">
        <v>42</v>
      </c>
      <c r="D193" s="33">
        <v>17</v>
      </c>
      <c r="E193" s="33" t="s">
        <v>20</v>
      </c>
      <c r="F193" s="33">
        <v>1</v>
      </c>
      <c r="G193" s="33" t="b">
        <v>0</v>
      </c>
      <c r="H193" s="33" t="s">
        <v>83</v>
      </c>
      <c r="I193" s="33">
        <v>70</v>
      </c>
      <c r="J193" s="33" t="str">
        <f t="shared" si="4"/>
        <v>Mid-to-Late Career</v>
      </c>
      <c r="K193" s="33" t="str">
        <f t="shared" si="5"/>
        <v>NHC</v>
      </c>
    </row>
    <row r="194" spans="1:11" x14ac:dyDescent="0.25">
      <c r="A194" s="33" t="s">
        <v>325</v>
      </c>
      <c r="B194" s="33">
        <v>66</v>
      </c>
      <c r="C194" s="33" t="s">
        <v>44</v>
      </c>
      <c r="D194" s="33">
        <v>29</v>
      </c>
      <c r="E194" s="33" t="s">
        <v>11</v>
      </c>
      <c r="F194" s="33">
        <v>7</v>
      </c>
      <c r="G194" s="33" t="b">
        <v>0</v>
      </c>
      <c r="H194" s="33" t="s">
        <v>165</v>
      </c>
      <c r="I194" s="33">
        <v>90</v>
      </c>
      <c r="J194" s="33" t="str">
        <f t="shared" ref="J194:J257" si="6">IF(C194="Student", "Students", IF(AND(C194="Employed", B194&gt;=22, B194&lt;=30), "Young Professionals", IF(AND(C194="Employed", B194&gt;=31, B194&lt;=55), "Mid-to-Late Career", IF(C194="Retired", "Retirees", "Homemakers"))))</f>
        <v>Retirees</v>
      </c>
      <c r="K194" s="33" t="str">
        <f t="shared" ref="K194:K257" si="7">IF(E193="Healthcare &amp; Life Sciences", "HC", "NHC")</f>
        <v>NHC</v>
      </c>
    </row>
    <row r="195" spans="1:11" x14ac:dyDescent="0.25">
      <c r="A195" s="33" t="s">
        <v>326</v>
      </c>
      <c r="B195" s="33">
        <v>26</v>
      </c>
      <c r="C195" s="33" t="s">
        <v>42</v>
      </c>
      <c r="D195" s="33">
        <v>3</v>
      </c>
      <c r="E195" s="33" t="s">
        <v>20</v>
      </c>
      <c r="F195" s="33">
        <v>2</v>
      </c>
      <c r="G195" s="33" t="b">
        <v>0</v>
      </c>
      <c r="H195" s="33" t="s">
        <v>83</v>
      </c>
      <c r="I195" s="33">
        <v>95</v>
      </c>
      <c r="J195" s="33" t="str">
        <f t="shared" si="6"/>
        <v>Young Professionals</v>
      </c>
      <c r="K195" s="33" t="str">
        <f t="shared" si="7"/>
        <v>HC</v>
      </c>
    </row>
    <row r="196" spans="1:11" x14ac:dyDescent="0.25">
      <c r="A196" s="33" t="s">
        <v>327</v>
      </c>
      <c r="B196" s="33">
        <v>20</v>
      </c>
      <c r="C196" s="33" t="s">
        <v>1</v>
      </c>
      <c r="D196" s="33">
        <v>0</v>
      </c>
      <c r="E196" s="33" t="s">
        <v>11</v>
      </c>
      <c r="F196" s="33">
        <v>5</v>
      </c>
      <c r="G196" s="33" t="b">
        <v>1</v>
      </c>
      <c r="H196" s="33" t="s">
        <v>159</v>
      </c>
      <c r="I196" s="33">
        <v>90</v>
      </c>
      <c r="J196" s="33" t="str">
        <f t="shared" si="6"/>
        <v>Students</v>
      </c>
      <c r="K196" s="33" t="str">
        <f t="shared" si="7"/>
        <v>NHC</v>
      </c>
    </row>
    <row r="197" spans="1:11" x14ac:dyDescent="0.25">
      <c r="A197" s="33" t="s">
        <v>328</v>
      </c>
      <c r="B197" s="33">
        <v>26</v>
      </c>
      <c r="C197" s="33" t="s">
        <v>42</v>
      </c>
      <c r="D197" s="33">
        <v>3</v>
      </c>
      <c r="E197" s="33" t="s">
        <v>22</v>
      </c>
      <c r="F197" s="33">
        <v>1</v>
      </c>
      <c r="G197" s="33" t="b">
        <v>0</v>
      </c>
      <c r="H197" s="33" t="s">
        <v>83</v>
      </c>
      <c r="I197" s="33">
        <v>95</v>
      </c>
      <c r="J197" s="33" t="str">
        <f t="shared" si="6"/>
        <v>Young Professionals</v>
      </c>
      <c r="K197" s="33" t="str">
        <f t="shared" si="7"/>
        <v>HC</v>
      </c>
    </row>
    <row r="198" spans="1:11" x14ac:dyDescent="0.25">
      <c r="A198" s="33" t="s">
        <v>329</v>
      </c>
      <c r="B198" s="33">
        <v>21</v>
      </c>
      <c r="C198" s="33" t="s">
        <v>1</v>
      </c>
      <c r="D198" s="33">
        <v>2</v>
      </c>
      <c r="E198" s="33" t="s">
        <v>11</v>
      </c>
      <c r="F198" s="33">
        <v>4</v>
      </c>
      <c r="G198" s="33" t="b">
        <v>1</v>
      </c>
      <c r="H198" s="33" t="s">
        <v>159</v>
      </c>
      <c r="I198" s="33">
        <v>90</v>
      </c>
      <c r="J198" s="33" t="str">
        <f t="shared" si="6"/>
        <v>Students</v>
      </c>
      <c r="K198" s="33" t="str">
        <f t="shared" si="7"/>
        <v>NHC</v>
      </c>
    </row>
    <row r="199" spans="1:11" x14ac:dyDescent="0.25">
      <c r="A199" s="33" t="s">
        <v>330</v>
      </c>
      <c r="B199" s="33">
        <v>20</v>
      </c>
      <c r="C199" s="33" t="s">
        <v>1</v>
      </c>
      <c r="D199" s="33">
        <v>0</v>
      </c>
      <c r="E199" s="33" t="s">
        <v>11</v>
      </c>
      <c r="F199" s="33">
        <v>5</v>
      </c>
      <c r="G199" s="33" t="b">
        <v>1</v>
      </c>
      <c r="H199" s="33" t="s">
        <v>159</v>
      </c>
      <c r="I199" s="33">
        <v>90</v>
      </c>
      <c r="J199" s="33" t="str">
        <f t="shared" si="6"/>
        <v>Students</v>
      </c>
      <c r="K199" s="33" t="str">
        <f t="shared" si="7"/>
        <v>HC</v>
      </c>
    </row>
    <row r="200" spans="1:11" x14ac:dyDescent="0.25">
      <c r="A200" s="33" t="s">
        <v>331</v>
      </c>
      <c r="B200" s="33">
        <v>20</v>
      </c>
      <c r="C200" s="33" t="s">
        <v>1</v>
      </c>
      <c r="D200" s="33">
        <v>2</v>
      </c>
      <c r="E200" s="33" t="s">
        <v>8</v>
      </c>
      <c r="F200" s="33">
        <v>4</v>
      </c>
      <c r="G200" s="33" t="b">
        <v>0</v>
      </c>
      <c r="H200" s="33" t="s">
        <v>159</v>
      </c>
      <c r="I200" s="33">
        <v>84</v>
      </c>
      <c r="J200" s="33" t="str">
        <f t="shared" si="6"/>
        <v>Students</v>
      </c>
      <c r="K200" s="33" t="str">
        <f t="shared" si="7"/>
        <v>HC</v>
      </c>
    </row>
    <row r="201" spans="1:11" x14ac:dyDescent="0.25">
      <c r="A201" s="33" t="s">
        <v>141</v>
      </c>
      <c r="B201" s="33">
        <v>39</v>
      </c>
      <c r="C201" s="33" t="s">
        <v>42</v>
      </c>
      <c r="D201" s="33">
        <v>21</v>
      </c>
      <c r="E201" s="33" t="s">
        <v>10</v>
      </c>
      <c r="F201" s="33">
        <v>1</v>
      </c>
      <c r="G201" s="33" t="b">
        <v>0</v>
      </c>
      <c r="H201" s="33" t="s">
        <v>83</v>
      </c>
      <c r="I201" s="33">
        <v>68</v>
      </c>
      <c r="J201" s="33" t="str">
        <f t="shared" si="6"/>
        <v>Mid-to-Late Career</v>
      </c>
      <c r="K201" s="33" t="str">
        <f t="shared" si="7"/>
        <v>NHC</v>
      </c>
    </row>
    <row r="202" spans="1:11" x14ac:dyDescent="0.25">
      <c r="A202" s="33" t="s">
        <v>332</v>
      </c>
      <c r="B202" s="33">
        <v>43</v>
      </c>
      <c r="C202" s="33" t="s">
        <v>43</v>
      </c>
      <c r="D202" s="33">
        <v>27</v>
      </c>
      <c r="E202" s="33" t="s">
        <v>18</v>
      </c>
      <c r="F202" s="33">
        <v>3</v>
      </c>
      <c r="G202" s="33" t="b">
        <v>0</v>
      </c>
      <c r="H202" s="33" t="s">
        <v>165</v>
      </c>
      <c r="I202" s="33">
        <v>97</v>
      </c>
      <c r="J202" s="33" t="str">
        <f t="shared" si="6"/>
        <v>Homemakers</v>
      </c>
      <c r="K202" s="33" t="str">
        <f t="shared" si="7"/>
        <v>NHC</v>
      </c>
    </row>
    <row r="203" spans="1:11" x14ac:dyDescent="0.25">
      <c r="A203" s="33" t="s">
        <v>333</v>
      </c>
      <c r="B203" s="33">
        <v>19</v>
      </c>
      <c r="C203" s="33" t="s">
        <v>1</v>
      </c>
      <c r="D203" s="33">
        <v>0</v>
      </c>
      <c r="E203" s="33" t="s">
        <v>11</v>
      </c>
      <c r="F203" s="33">
        <v>4</v>
      </c>
      <c r="G203" s="33" t="b">
        <v>1</v>
      </c>
      <c r="H203" s="33" t="s">
        <v>159</v>
      </c>
      <c r="I203" s="33">
        <v>90</v>
      </c>
      <c r="J203" s="33" t="str">
        <f t="shared" si="6"/>
        <v>Students</v>
      </c>
      <c r="K203" s="33" t="str">
        <f t="shared" si="7"/>
        <v>NHC</v>
      </c>
    </row>
    <row r="204" spans="1:11" x14ac:dyDescent="0.25">
      <c r="A204" s="33" t="s">
        <v>334</v>
      </c>
      <c r="B204" s="33">
        <v>22</v>
      </c>
      <c r="C204" s="33" t="s">
        <v>42</v>
      </c>
      <c r="D204" s="33">
        <v>0</v>
      </c>
      <c r="E204" s="33" t="s">
        <v>23</v>
      </c>
      <c r="F204" s="33">
        <v>2</v>
      </c>
      <c r="G204" s="33" t="b">
        <v>0</v>
      </c>
      <c r="H204" s="33" t="s">
        <v>83</v>
      </c>
      <c r="I204" s="33">
        <v>94</v>
      </c>
      <c r="J204" s="33" t="str">
        <f t="shared" si="6"/>
        <v>Young Professionals</v>
      </c>
      <c r="K204" s="33" t="str">
        <f t="shared" si="7"/>
        <v>HC</v>
      </c>
    </row>
    <row r="205" spans="1:11" x14ac:dyDescent="0.25">
      <c r="A205" s="33" t="s">
        <v>335</v>
      </c>
      <c r="B205" s="33">
        <v>20</v>
      </c>
      <c r="C205" s="33" t="s">
        <v>1</v>
      </c>
      <c r="D205" s="33">
        <v>1</v>
      </c>
      <c r="E205" s="33" t="s">
        <v>23</v>
      </c>
      <c r="F205" s="33">
        <v>4</v>
      </c>
      <c r="G205" s="33" t="b">
        <v>0</v>
      </c>
      <c r="H205" s="33" t="s">
        <v>159</v>
      </c>
      <c r="I205" s="33">
        <v>83</v>
      </c>
      <c r="J205" s="33" t="str">
        <f t="shared" si="6"/>
        <v>Students</v>
      </c>
      <c r="K205" s="33" t="str">
        <f t="shared" si="7"/>
        <v>NHC</v>
      </c>
    </row>
    <row r="206" spans="1:11" x14ac:dyDescent="0.25">
      <c r="A206" s="33" t="s">
        <v>336</v>
      </c>
      <c r="B206" s="33">
        <v>19</v>
      </c>
      <c r="C206" s="33" t="s">
        <v>1</v>
      </c>
      <c r="D206" s="33">
        <v>0</v>
      </c>
      <c r="E206" s="33" t="s">
        <v>22</v>
      </c>
      <c r="F206" s="33">
        <v>4</v>
      </c>
      <c r="G206" s="33" t="b">
        <v>0</v>
      </c>
      <c r="H206" s="33" t="s">
        <v>159</v>
      </c>
      <c r="I206" s="33">
        <v>86</v>
      </c>
      <c r="J206" s="33" t="str">
        <f t="shared" si="6"/>
        <v>Students</v>
      </c>
      <c r="K206" s="33" t="str">
        <f t="shared" si="7"/>
        <v>NHC</v>
      </c>
    </row>
    <row r="207" spans="1:11" x14ac:dyDescent="0.25">
      <c r="A207" s="33" t="s">
        <v>337</v>
      </c>
      <c r="B207" s="33">
        <v>18</v>
      </c>
      <c r="C207" s="33" t="s">
        <v>1</v>
      </c>
      <c r="D207" s="33">
        <v>2</v>
      </c>
      <c r="E207" s="33" t="s">
        <v>13</v>
      </c>
      <c r="F207" s="33">
        <v>5</v>
      </c>
      <c r="G207" s="33" t="b">
        <v>1</v>
      </c>
      <c r="H207" s="33" t="s">
        <v>159</v>
      </c>
      <c r="I207" s="33">
        <v>86</v>
      </c>
      <c r="J207" s="33" t="str">
        <f t="shared" si="6"/>
        <v>Students</v>
      </c>
      <c r="K207" s="33" t="str">
        <f t="shared" si="7"/>
        <v>NHC</v>
      </c>
    </row>
    <row r="208" spans="1:11" x14ac:dyDescent="0.25">
      <c r="A208" s="33" t="s">
        <v>338</v>
      </c>
      <c r="B208" s="33">
        <v>25</v>
      </c>
      <c r="C208" s="33" t="s">
        <v>42</v>
      </c>
      <c r="D208" s="33">
        <v>5</v>
      </c>
      <c r="E208" s="33" t="s">
        <v>22</v>
      </c>
      <c r="F208" s="33">
        <v>0</v>
      </c>
      <c r="G208" s="33" t="b">
        <v>0</v>
      </c>
      <c r="H208" s="33" t="s">
        <v>83</v>
      </c>
      <c r="I208" s="33">
        <v>89</v>
      </c>
      <c r="J208" s="33" t="str">
        <f t="shared" si="6"/>
        <v>Young Professionals</v>
      </c>
      <c r="K208" s="33" t="str">
        <f t="shared" si="7"/>
        <v>NHC</v>
      </c>
    </row>
    <row r="209" spans="1:11" x14ac:dyDescent="0.25">
      <c r="A209" s="33" t="s">
        <v>339</v>
      </c>
      <c r="B209" s="33">
        <v>20</v>
      </c>
      <c r="C209" s="33" t="s">
        <v>1</v>
      </c>
      <c r="D209" s="33">
        <v>1</v>
      </c>
      <c r="E209" s="33" t="s">
        <v>11</v>
      </c>
      <c r="F209" s="33">
        <v>5</v>
      </c>
      <c r="G209" s="33" t="b">
        <v>1</v>
      </c>
      <c r="H209" s="33" t="s">
        <v>159</v>
      </c>
      <c r="I209" s="33">
        <v>90</v>
      </c>
      <c r="J209" s="33" t="str">
        <f t="shared" si="6"/>
        <v>Students</v>
      </c>
      <c r="K209" s="33" t="str">
        <f t="shared" si="7"/>
        <v>NHC</v>
      </c>
    </row>
    <row r="210" spans="1:11" x14ac:dyDescent="0.25">
      <c r="A210" s="33" t="s">
        <v>340</v>
      </c>
      <c r="B210" s="33">
        <v>37</v>
      </c>
      <c r="C210" s="33" t="s">
        <v>43</v>
      </c>
      <c r="D210" s="33">
        <v>10</v>
      </c>
      <c r="E210" s="33" t="s">
        <v>16</v>
      </c>
      <c r="F210" s="33">
        <v>5</v>
      </c>
      <c r="G210" s="33" t="b">
        <v>0</v>
      </c>
      <c r="H210" s="33" t="s">
        <v>165</v>
      </c>
      <c r="I210" s="33">
        <v>95</v>
      </c>
      <c r="J210" s="33" t="str">
        <f t="shared" si="6"/>
        <v>Homemakers</v>
      </c>
      <c r="K210" s="33" t="str">
        <f t="shared" si="7"/>
        <v>HC</v>
      </c>
    </row>
    <row r="211" spans="1:11" x14ac:dyDescent="0.25">
      <c r="A211" s="33" t="s">
        <v>140</v>
      </c>
      <c r="B211" s="33">
        <v>38</v>
      </c>
      <c r="C211" s="33" t="s">
        <v>42</v>
      </c>
      <c r="D211" s="33">
        <v>12</v>
      </c>
      <c r="E211" s="33" t="s">
        <v>10</v>
      </c>
      <c r="F211" s="33">
        <v>1</v>
      </c>
      <c r="G211" s="33" t="b">
        <v>0</v>
      </c>
      <c r="H211" s="33" t="s">
        <v>83</v>
      </c>
      <c r="I211" s="33">
        <v>67</v>
      </c>
      <c r="J211" s="33" t="str">
        <f t="shared" si="6"/>
        <v>Mid-to-Late Career</v>
      </c>
      <c r="K211" s="33" t="str">
        <f t="shared" si="7"/>
        <v>NHC</v>
      </c>
    </row>
    <row r="212" spans="1:11" x14ac:dyDescent="0.25">
      <c r="A212" s="33" t="s">
        <v>341</v>
      </c>
      <c r="B212" s="33">
        <v>22</v>
      </c>
      <c r="C212" s="33" t="s">
        <v>42</v>
      </c>
      <c r="D212" s="33">
        <v>2</v>
      </c>
      <c r="E212" s="33" t="s">
        <v>22</v>
      </c>
      <c r="F212" s="33">
        <v>2</v>
      </c>
      <c r="G212" s="33" t="b">
        <v>0</v>
      </c>
      <c r="H212" s="33" t="s">
        <v>83</v>
      </c>
      <c r="I212" s="33">
        <v>90</v>
      </c>
      <c r="J212" s="33" t="str">
        <f t="shared" si="6"/>
        <v>Young Professionals</v>
      </c>
      <c r="K212" s="33" t="str">
        <f t="shared" si="7"/>
        <v>NHC</v>
      </c>
    </row>
    <row r="213" spans="1:11" x14ac:dyDescent="0.25">
      <c r="A213" s="33" t="s">
        <v>342</v>
      </c>
      <c r="B213" s="33">
        <v>19</v>
      </c>
      <c r="C213" s="33" t="s">
        <v>1</v>
      </c>
      <c r="D213" s="33">
        <v>0</v>
      </c>
      <c r="E213" s="33" t="s">
        <v>11</v>
      </c>
      <c r="F213" s="33">
        <v>4</v>
      </c>
      <c r="G213" s="33" t="b">
        <v>1</v>
      </c>
      <c r="H213" s="33" t="s">
        <v>159</v>
      </c>
      <c r="I213" s="33">
        <v>88</v>
      </c>
      <c r="J213" s="33" t="str">
        <f t="shared" si="6"/>
        <v>Students</v>
      </c>
      <c r="K213" s="33" t="str">
        <f t="shared" si="7"/>
        <v>NHC</v>
      </c>
    </row>
    <row r="214" spans="1:11" x14ac:dyDescent="0.25">
      <c r="A214" s="33" t="s">
        <v>343</v>
      </c>
      <c r="B214" s="33">
        <v>23</v>
      </c>
      <c r="C214" s="33" t="s">
        <v>42</v>
      </c>
      <c r="D214" s="33">
        <v>2</v>
      </c>
      <c r="E214" s="33" t="s">
        <v>14</v>
      </c>
      <c r="F214" s="33">
        <v>2</v>
      </c>
      <c r="G214" s="33" t="b">
        <v>0</v>
      </c>
      <c r="H214" s="33" t="s">
        <v>83</v>
      </c>
      <c r="I214" s="33">
        <v>90</v>
      </c>
      <c r="J214" s="33" t="str">
        <f t="shared" si="6"/>
        <v>Young Professionals</v>
      </c>
      <c r="K214" s="33" t="str">
        <f t="shared" si="7"/>
        <v>HC</v>
      </c>
    </row>
    <row r="215" spans="1:11" x14ac:dyDescent="0.25">
      <c r="A215" s="33" t="s">
        <v>344</v>
      </c>
      <c r="B215" s="33">
        <v>23</v>
      </c>
      <c r="C215" s="33" t="s">
        <v>42</v>
      </c>
      <c r="D215" s="33">
        <v>0</v>
      </c>
      <c r="E215" s="33" t="s">
        <v>16</v>
      </c>
      <c r="F215" s="33">
        <v>0</v>
      </c>
      <c r="G215" s="33" t="b">
        <v>0</v>
      </c>
      <c r="H215" s="33" t="s">
        <v>83</v>
      </c>
      <c r="I215" s="33">
        <v>94</v>
      </c>
      <c r="J215" s="33" t="str">
        <f t="shared" si="6"/>
        <v>Young Professionals</v>
      </c>
      <c r="K215" s="33" t="str">
        <f t="shared" si="7"/>
        <v>NHC</v>
      </c>
    </row>
    <row r="216" spans="1:11" x14ac:dyDescent="0.25">
      <c r="A216" s="33" t="s">
        <v>345</v>
      </c>
      <c r="B216" s="33">
        <v>30</v>
      </c>
      <c r="C216" s="33" t="s">
        <v>42</v>
      </c>
      <c r="D216" s="33">
        <v>3</v>
      </c>
      <c r="E216" s="33" t="s">
        <v>16</v>
      </c>
      <c r="F216" s="33">
        <v>0</v>
      </c>
      <c r="G216" s="33" t="b">
        <v>1</v>
      </c>
      <c r="H216" s="33" t="s">
        <v>83</v>
      </c>
      <c r="I216" s="33">
        <v>93</v>
      </c>
      <c r="J216" s="33" t="str">
        <f t="shared" si="6"/>
        <v>Young Professionals</v>
      </c>
      <c r="K216" s="33" t="str">
        <f t="shared" si="7"/>
        <v>NHC</v>
      </c>
    </row>
    <row r="217" spans="1:11" x14ac:dyDescent="0.25">
      <c r="A217" s="33" t="s">
        <v>139</v>
      </c>
      <c r="B217" s="33">
        <v>31</v>
      </c>
      <c r="C217" s="33" t="s">
        <v>42</v>
      </c>
      <c r="D217" s="33">
        <v>12</v>
      </c>
      <c r="E217" s="33" t="s">
        <v>10</v>
      </c>
      <c r="F217" s="33">
        <v>0</v>
      </c>
      <c r="G217" s="33" t="b">
        <v>0</v>
      </c>
      <c r="H217" s="33" t="s">
        <v>83</v>
      </c>
      <c r="I217" s="33">
        <v>71</v>
      </c>
      <c r="J217" s="33" t="str">
        <f t="shared" si="6"/>
        <v>Mid-to-Late Career</v>
      </c>
      <c r="K217" s="33" t="str">
        <f t="shared" si="7"/>
        <v>NHC</v>
      </c>
    </row>
    <row r="218" spans="1:11" x14ac:dyDescent="0.25">
      <c r="A218" s="33" t="s">
        <v>138</v>
      </c>
      <c r="B218" s="33">
        <v>49</v>
      </c>
      <c r="C218" s="33" t="s">
        <v>42</v>
      </c>
      <c r="D218" s="33">
        <v>12</v>
      </c>
      <c r="E218" s="33" t="s">
        <v>16</v>
      </c>
      <c r="F218" s="33">
        <v>1</v>
      </c>
      <c r="G218" s="33" t="b">
        <v>0</v>
      </c>
      <c r="H218" s="33" t="s">
        <v>83</v>
      </c>
      <c r="I218" s="33">
        <v>68</v>
      </c>
      <c r="J218" s="33" t="str">
        <f t="shared" si="6"/>
        <v>Mid-to-Late Career</v>
      </c>
      <c r="K218" s="33" t="str">
        <f t="shared" si="7"/>
        <v>NHC</v>
      </c>
    </row>
    <row r="219" spans="1:11" x14ac:dyDescent="0.25">
      <c r="A219" s="33" t="s">
        <v>346</v>
      </c>
      <c r="B219" s="33">
        <v>30</v>
      </c>
      <c r="C219" s="33" t="s">
        <v>42</v>
      </c>
      <c r="D219" s="33">
        <v>0</v>
      </c>
      <c r="E219" s="33" t="s">
        <v>23</v>
      </c>
      <c r="F219" s="33">
        <v>0</v>
      </c>
      <c r="G219" s="33" t="b">
        <v>0</v>
      </c>
      <c r="H219" s="33" t="s">
        <v>83</v>
      </c>
      <c r="I219" s="33">
        <v>95</v>
      </c>
      <c r="J219" s="33" t="str">
        <f t="shared" si="6"/>
        <v>Young Professionals</v>
      </c>
      <c r="K219" s="33" t="str">
        <f t="shared" si="7"/>
        <v>NHC</v>
      </c>
    </row>
    <row r="220" spans="1:11" x14ac:dyDescent="0.25">
      <c r="A220" s="33" t="s">
        <v>137</v>
      </c>
      <c r="B220" s="33">
        <v>49</v>
      </c>
      <c r="C220" s="33" t="s">
        <v>42</v>
      </c>
      <c r="D220" s="33">
        <v>15</v>
      </c>
      <c r="E220" s="33" t="s">
        <v>10</v>
      </c>
      <c r="F220" s="33">
        <v>0</v>
      </c>
      <c r="G220" s="33" t="b">
        <v>1</v>
      </c>
      <c r="H220" s="33" t="s">
        <v>83</v>
      </c>
      <c r="I220" s="33">
        <v>69</v>
      </c>
      <c r="J220" s="33" t="str">
        <f t="shared" si="6"/>
        <v>Mid-to-Late Career</v>
      </c>
      <c r="K220" s="33" t="str">
        <f t="shared" si="7"/>
        <v>NHC</v>
      </c>
    </row>
    <row r="221" spans="1:11" x14ac:dyDescent="0.25">
      <c r="A221" s="33" t="s">
        <v>347</v>
      </c>
      <c r="B221" s="33">
        <v>27</v>
      </c>
      <c r="C221" s="33" t="s">
        <v>42</v>
      </c>
      <c r="D221" s="33">
        <v>3</v>
      </c>
      <c r="E221" s="33" t="s">
        <v>23</v>
      </c>
      <c r="F221" s="33">
        <v>0</v>
      </c>
      <c r="G221" s="33" t="b">
        <v>0</v>
      </c>
      <c r="H221" s="33" t="s">
        <v>83</v>
      </c>
      <c r="I221" s="33">
        <v>95</v>
      </c>
      <c r="J221" s="33" t="str">
        <f t="shared" si="6"/>
        <v>Young Professionals</v>
      </c>
      <c r="K221" s="33" t="str">
        <f t="shared" si="7"/>
        <v>NHC</v>
      </c>
    </row>
    <row r="222" spans="1:11" x14ac:dyDescent="0.25">
      <c r="A222" s="33" t="s">
        <v>136</v>
      </c>
      <c r="B222" s="33">
        <v>32</v>
      </c>
      <c r="C222" s="33" t="s">
        <v>42</v>
      </c>
      <c r="D222" s="33">
        <v>10</v>
      </c>
      <c r="E222" s="33" t="s">
        <v>22</v>
      </c>
      <c r="F222" s="33">
        <v>1</v>
      </c>
      <c r="G222" s="33" t="b">
        <v>1</v>
      </c>
      <c r="H222" s="33" t="s">
        <v>83</v>
      </c>
      <c r="I222" s="33">
        <v>68</v>
      </c>
      <c r="J222" s="33" t="str">
        <f t="shared" si="6"/>
        <v>Mid-to-Late Career</v>
      </c>
      <c r="K222" s="33" t="str">
        <f t="shared" si="7"/>
        <v>NHC</v>
      </c>
    </row>
    <row r="223" spans="1:11" x14ac:dyDescent="0.25">
      <c r="A223" s="33" t="s">
        <v>348</v>
      </c>
      <c r="B223" s="33">
        <v>28</v>
      </c>
      <c r="C223" s="33" t="s">
        <v>42</v>
      </c>
      <c r="D223" s="33">
        <v>2</v>
      </c>
      <c r="E223" s="33" t="s">
        <v>23</v>
      </c>
      <c r="F223" s="33">
        <v>2</v>
      </c>
      <c r="G223" s="33" t="b">
        <v>0</v>
      </c>
      <c r="H223" s="33" t="s">
        <v>83</v>
      </c>
      <c r="I223" s="33">
        <v>94</v>
      </c>
      <c r="J223" s="33" t="str">
        <f t="shared" si="6"/>
        <v>Young Professionals</v>
      </c>
      <c r="K223" s="33" t="str">
        <f t="shared" si="7"/>
        <v>NHC</v>
      </c>
    </row>
    <row r="224" spans="1:11" x14ac:dyDescent="0.25">
      <c r="A224" s="33" t="s">
        <v>349</v>
      </c>
      <c r="B224" s="33">
        <v>21</v>
      </c>
      <c r="C224" s="33" t="s">
        <v>1</v>
      </c>
      <c r="D224" s="33">
        <v>2</v>
      </c>
      <c r="E224" s="33" t="s">
        <v>11</v>
      </c>
      <c r="F224" s="33">
        <v>3</v>
      </c>
      <c r="G224" s="33" t="b">
        <v>1</v>
      </c>
      <c r="H224" s="33" t="s">
        <v>159</v>
      </c>
      <c r="I224" s="33">
        <v>91</v>
      </c>
      <c r="J224" s="33" t="str">
        <f t="shared" si="6"/>
        <v>Students</v>
      </c>
      <c r="K224" s="33" t="str">
        <f t="shared" si="7"/>
        <v>NHC</v>
      </c>
    </row>
    <row r="225" spans="1:11" x14ac:dyDescent="0.25">
      <c r="A225" s="33" t="s">
        <v>350</v>
      </c>
      <c r="B225" s="33">
        <v>18</v>
      </c>
      <c r="C225" s="33" t="s">
        <v>1</v>
      </c>
      <c r="D225" s="33">
        <v>1</v>
      </c>
      <c r="E225" s="33" t="s">
        <v>16</v>
      </c>
      <c r="F225" s="33">
        <v>3</v>
      </c>
      <c r="G225" s="33" t="b">
        <v>1</v>
      </c>
      <c r="H225" s="33" t="s">
        <v>159</v>
      </c>
      <c r="I225" s="33">
        <v>84</v>
      </c>
      <c r="J225" s="33" t="str">
        <f t="shared" si="6"/>
        <v>Students</v>
      </c>
      <c r="K225" s="33" t="str">
        <f t="shared" si="7"/>
        <v>HC</v>
      </c>
    </row>
    <row r="226" spans="1:11" x14ac:dyDescent="0.25">
      <c r="A226" s="33" t="s">
        <v>351</v>
      </c>
      <c r="B226" s="33">
        <v>20</v>
      </c>
      <c r="C226" s="33" t="s">
        <v>1</v>
      </c>
      <c r="D226" s="33">
        <v>1</v>
      </c>
      <c r="E226" s="33" t="s">
        <v>11</v>
      </c>
      <c r="F226" s="33">
        <v>3</v>
      </c>
      <c r="G226" s="33" t="b">
        <v>1</v>
      </c>
      <c r="H226" s="33" t="s">
        <v>159</v>
      </c>
      <c r="I226" s="33">
        <v>92</v>
      </c>
      <c r="J226" s="33" t="str">
        <f t="shared" si="6"/>
        <v>Students</v>
      </c>
      <c r="K226" s="33" t="str">
        <f t="shared" si="7"/>
        <v>NHC</v>
      </c>
    </row>
    <row r="227" spans="1:11" x14ac:dyDescent="0.25">
      <c r="A227" s="33" t="s">
        <v>135</v>
      </c>
      <c r="B227" s="33">
        <v>36</v>
      </c>
      <c r="C227" s="33" t="s">
        <v>42</v>
      </c>
      <c r="D227" s="33">
        <v>9</v>
      </c>
      <c r="E227" s="33" t="s">
        <v>13</v>
      </c>
      <c r="F227" s="33">
        <v>0</v>
      </c>
      <c r="G227" s="33" t="b">
        <v>0</v>
      </c>
      <c r="H227" s="33" t="s">
        <v>83</v>
      </c>
      <c r="I227" s="33">
        <v>67</v>
      </c>
      <c r="J227" s="33" t="str">
        <f t="shared" si="6"/>
        <v>Mid-to-Late Career</v>
      </c>
      <c r="K227" s="33" t="str">
        <f t="shared" si="7"/>
        <v>HC</v>
      </c>
    </row>
    <row r="228" spans="1:11" x14ac:dyDescent="0.25">
      <c r="A228" s="33" t="s">
        <v>352</v>
      </c>
      <c r="B228" s="33">
        <v>30</v>
      </c>
      <c r="C228" s="33" t="s">
        <v>42</v>
      </c>
      <c r="D228" s="33">
        <v>1</v>
      </c>
      <c r="E228" s="33" t="s">
        <v>10</v>
      </c>
      <c r="F228" s="33">
        <v>2</v>
      </c>
      <c r="G228" s="33" t="b">
        <v>1</v>
      </c>
      <c r="H228" s="33" t="s">
        <v>83</v>
      </c>
      <c r="I228" s="33">
        <v>94</v>
      </c>
      <c r="J228" s="33" t="str">
        <f t="shared" si="6"/>
        <v>Young Professionals</v>
      </c>
      <c r="K228" s="33" t="str">
        <f t="shared" si="7"/>
        <v>NHC</v>
      </c>
    </row>
    <row r="229" spans="1:11" x14ac:dyDescent="0.25">
      <c r="A229" s="33" t="s">
        <v>353</v>
      </c>
      <c r="B229" s="33">
        <v>45</v>
      </c>
      <c r="C229" s="33" t="s">
        <v>43</v>
      </c>
      <c r="D229" s="33">
        <v>27</v>
      </c>
      <c r="E229" s="33" t="s">
        <v>23</v>
      </c>
      <c r="F229" s="33">
        <v>5</v>
      </c>
      <c r="G229" s="33" t="b">
        <v>0</v>
      </c>
      <c r="H229" s="33" t="s">
        <v>165</v>
      </c>
      <c r="I229" s="33">
        <v>94</v>
      </c>
      <c r="J229" s="33" t="str">
        <f t="shared" si="6"/>
        <v>Homemakers</v>
      </c>
      <c r="K229" s="33" t="str">
        <f t="shared" si="7"/>
        <v>NHC</v>
      </c>
    </row>
    <row r="230" spans="1:11" x14ac:dyDescent="0.25">
      <c r="A230" s="33" t="s">
        <v>354</v>
      </c>
      <c r="B230" s="33">
        <v>23</v>
      </c>
      <c r="C230" s="33" t="s">
        <v>42</v>
      </c>
      <c r="D230" s="33">
        <v>1</v>
      </c>
      <c r="E230" s="33" t="s">
        <v>8</v>
      </c>
      <c r="F230" s="33">
        <v>0</v>
      </c>
      <c r="G230" s="33" t="b">
        <v>0</v>
      </c>
      <c r="H230" s="33" t="s">
        <v>83</v>
      </c>
      <c r="I230" s="33">
        <v>92</v>
      </c>
      <c r="J230" s="33" t="str">
        <f t="shared" si="6"/>
        <v>Young Professionals</v>
      </c>
      <c r="K230" s="33" t="str">
        <f t="shared" si="7"/>
        <v>NHC</v>
      </c>
    </row>
    <row r="231" spans="1:11" x14ac:dyDescent="0.25">
      <c r="A231" s="33" t="s">
        <v>355</v>
      </c>
      <c r="B231" s="33">
        <v>19</v>
      </c>
      <c r="C231" s="33" t="s">
        <v>1</v>
      </c>
      <c r="D231" s="33">
        <v>2</v>
      </c>
      <c r="E231" s="33" t="s">
        <v>11</v>
      </c>
      <c r="F231" s="33">
        <v>5</v>
      </c>
      <c r="G231" s="33" t="b">
        <v>1</v>
      </c>
      <c r="H231" s="33" t="s">
        <v>159</v>
      </c>
      <c r="I231" s="33">
        <v>90</v>
      </c>
      <c r="J231" s="33" t="str">
        <f t="shared" si="6"/>
        <v>Students</v>
      </c>
      <c r="K231" s="33" t="str">
        <f t="shared" si="7"/>
        <v>NHC</v>
      </c>
    </row>
    <row r="232" spans="1:11" x14ac:dyDescent="0.25">
      <c r="A232" s="33" t="s">
        <v>356</v>
      </c>
      <c r="B232" s="33">
        <v>19</v>
      </c>
      <c r="C232" s="33" t="s">
        <v>1</v>
      </c>
      <c r="D232" s="33">
        <v>2</v>
      </c>
      <c r="E232" s="33" t="s">
        <v>11</v>
      </c>
      <c r="F232" s="33">
        <v>3</v>
      </c>
      <c r="G232" s="33" t="b">
        <v>1</v>
      </c>
      <c r="H232" s="33" t="s">
        <v>159</v>
      </c>
      <c r="I232" s="33">
        <v>89</v>
      </c>
      <c r="J232" s="33" t="str">
        <f t="shared" si="6"/>
        <v>Students</v>
      </c>
      <c r="K232" s="33" t="str">
        <f t="shared" si="7"/>
        <v>HC</v>
      </c>
    </row>
    <row r="233" spans="1:11" x14ac:dyDescent="0.25">
      <c r="A233" s="33" t="s">
        <v>357</v>
      </c>
      <c r="B233" s="33">
        <v>19</v>
      </c>
      <c r="C233" s="33" t="s">
        <v>1</v>
      </c>
      <c r="D233" s="33">
        <v>1</v>
      </c>
      <c r="E233" s="33" t="s">
        <v>11</v>
      </c>
      <c r="F233" s="33">
        <v>3</v>
      </c>
      <c r="G233" s="33" t="b">
        <v>1</v>
      </c>
      <c r="H233" s="33" t="s">
        <v>159</v>
      </c>
      <c r="I233" s="33">
        <v>87</v>
      </c>
      <c r="J233" s="33" t="str">
        <f t="shared" si="6"/>
        <v>Students</v>
      </c>
      <c r="K233" s="33" t="str">
        <f t="shared" si="7"/>
        <v>HC</v>
      </c>
    </row>
    <row r="234" spans="1:11" x14ac:dyDescent="0.25">
      <c r="A234" s="33" t="s">
        <v>358</v>
      </c>
      <c r="B234" s="33">
        <v>32</v>
      </c>
      <c r="C234" s="33" t="s">
        <v>43</v>
      </c>
      <c r="D234" s="33">
        <v>3</v>
      </c>
      <c r="E234" s="33" t="s">
        <v>8</v>
      </c>
      <c r="F234" s="33">
        <v>5</v>
      </c>
      <c r="G234" s="33" t="b">
        <v>0</v>
      </c>
      <c r="H234" s="33" t="s">
        <v>165</v>
      </c>
      <c r="I234" s="33">
        <v>93</v>
      </c>
      <c r="J234" s="33" t="str">
        <f t="shared" si="6"/>
        <v>Homemakers</v>
      </c>
      <c r="K234" s="33" t="str">
        <f t="shared" si="7"/>
        <v>HC</v>
      </c>
    </row>
    <row r="235" spans="1:11" x14ac:dyDescent="0.25">
      <c r="A235" s="33" t="s">
        <v>359</v>
      </c>
      <c r="B235" s="33">
        <v>21</v>
      </c>
      <c r="C235" s="33" t="s">
        <v>1</v>
      </c>
      <c r="D235" s="33">
        <v>0</v>
      </c>
      <c r="E235" s="33" t="s">
        <v>11</v>
      </c>
      <c r="F235" s="33">
        <v>3</v>
      </c>
      <c r="G235" s="33" t="b">
        <v>1</v>
      </c>
      <c r="H235" s="33" t="s">
        <v>159</v>
      </c>
      <c r="I235" s="33">
        <v>91</v>
      </c>
      <c r="J235" s="33" t="str">
        <f t="shared" si="6"/>
        <v>Students</v>
      </c>
      <c r="K235" s="33" t="str">
        <f t="shared" si="7"/>
        <v>NHC</v>
      </c>
    </row>
    <row r="236" spans="1:11" x14ac:dyDescent="0.25">
      <c r="A236" s="33" t="s">
        <v>134</v>
      </c>
      <c r="B236" s="33">
        <v>51</v>
      </c>
      <c r="C236" s="33" t="s">
        <v>42</v>
      </c>
      <c r="D236" s="33">
        <v>7</v>
      </c>
      <c r="E236" s="33" t="s">
        <v>10</v>
      </c>
      <c r="F236" s="33">
        <v>2</v>
      </c>
      <c r="G236" s="33" t="b">
        <v>0</v>
      </c>
      <c r="H236" s="33" t="s">
        <v>83</v>
      </c>
      <c r="I236" s="33">
        <v>72</v>
      </c>
      <c r="J236" s="33" t="str">
        <f t="shared" si="6"/>
        <v>Mid-to-Late Career</v>
      </c>
      <c r="K236" s="33" t="str">
        <f t="shared" si="7"/>
        <v>HC</v>
      </c>
    </row>
    <row r="237" spans="1:11" x14ac:dyDescent="0.25">
      <c r="A237" s="33" t="s">
        <v>133</v>
      </c>
      <c r="B237" s="33">
        <v>40</v>
      </c>
      <c r="C237" s="33" t="s">
        <v>42</v>
      </c>
      <c r="D237" s="33">
        <v>23</v>
      </c>
      <c r="E237" s="33" t="s">
        <v>13</v>
      </c>
      <c r="F237" s="33">
        <v>0</v>
      </c>
      <c r="G237" s="33" t="b">
        <v>0</v>
      </c>
      <c r="H237" s="33" t="s">
        <v>83</v>
      </c>
      <c r="I237" s="33">
        <v>69</v>
      </c>
      <c r="J237" s="33" t="str">
        <f t="shared" si="6"/>
        <v>Mid-to-Late Career</v>
      </c>
      <c r="K237" s="33" t="str">
        <f t="shared" si="7"/>
        <v>NHC</v>
      </c>
    </row>
    <row r="238" spans="1:11" x14ac:dyDescent="0.25">
      <c r="A238" s="33" t="s">
        <v>132</v>
      </c>
      <c r="B238" s="33">
        <v>42</v>
      </c>
      <c r="C238" s="33" t="s">
        <v>42</v>
      </c>
      <c r="D238" s="33">
        <v>19</v>
      </c>
      <c r="E238" s="33" t="s">
        <v>11</v>
      </c>
      <c r="F238" s="33">
        <v>3</v>
      </c>
      <c r="G238" s="33" t="b">
        <v>0</v>
      </c>
      <c r="H238" s="33" t="s">
        <v>83</v>
      </c>
      <c r="I238" s="33">
        <v>84</v>
      </c>
      <c r="J238" s="33" t="str">
        <f t="shared" si="6"/>
        <v>Mid-to-Late Career</v>
      </c>
      <c r="K238" s="33" t="str">
        <f t="shared" si="7"/>
        <v>NHC</v>
      </c>
    </row>
    <row r="239" spans="1:11" x14ac:dyDescent="0.25">
      <c r="A239" s="33" t="s">
        <v>360</v>
      </c>
      <c r="B239" s="33">
        <v>21</v>
      </c>
      <c r="C239" s="33" t="s">
        <v>1</v>
      </c>
      <c r="D239" s="33">
        <v>1</v>
      </c>
      <c r="E239" s="33" t="s">
        <v>14</v>
      </c>
      <c r="F239" s="33">
        <v>3</v>
      </c>
      <c r="G239" s="33" t="b">
        <v>0</v>
      </c>
      <c r="H239" s="33" t="s">
        <v>159</v>
      </c>
      <c r="I239" s="33">
        <v>86</v>
      </c>
      <c r="J239" s="33" t="str">
        <f t="shared" si="6"/>
        <v>Students</v>
      </c>
      <c r="K239" s="33" t="str">
        <f t="shared" si="7"/>
        <v>HC</v>
      </c>
    </row>
    <row r="240" spans="1:11" x14ac:dyDescent="0.25">
      <c r="A240" s="33" t="s">
        <v>361</v>
      </c>
      <c r="B240" s="33">
        <v>19</v>
      </c>
      <c r="C240" s="33" t="s">
        <v>1</v>
      </c>
      <c r="D240" s="33">
        <v>2</v>
      </c>
      <c r="E240" s="33" t="s">
        <v>22</v>
      </c>
      <c r="F240" s="33">
        <v>5</v>
      </c>
      <c r="G240" s="33" t="b">
        <v>0</v>
      </c>
      <c r="H240" s="33" t="s">
        <v>159</v>
      </c>
      <c r="I240" s="33">
        <v>84</v>
      </c>
      <c r="J240" s="33" t="str">
        <f t="shared" si="6"/>
        <v>Students</v>
      </c>
      <c r="K240" s="33" t="str">
        <f t="shared" si="7"/>
        <v>NHC</v>
      </c>
    </row>
    <row r="241" spans="1:11" x14ac:dyDescent="0.25">
      <c r="A241" s="33" t="s">
        <v>362</v>
      </c>
      <c r="B241" s="33">
        <v>21</v>
      </c>
      <c r="C241" s="33" t="s">
        <v>1</v>
      </c>
      <c r="D241" s="33">
        <v>1</v>
      </c>
      <c r="E241" s="33" t="s">
        <v>23</v>
      </c>
      <c r="F241" s="33">
        <v>3</v>
      </c>
      <c r="G241" s="33" t="b">
        <v>0</v>
      </c>
      <c r="H241" s="33" t="s">
        <v>159</v>
      </c>
      <c r="I241" s="33">
        <v>86</v>
      </c>
      <c r="J241" s="33" t="str">
        <f t="shared" si="6"/>
        <v>Students</v>
      </c>
      <c r="K241" s="33" t="str">
        <f t="shared" si="7"/>
        <v>NHC</v>
      </c>
    </row>
    <row r="242" spans="1:11" x14ac:dyDescent="0.25">
      <c r="A242" s="33" t="s">
        <v>131</v>
      </c>
      <c r="B242" s="33">
        <v>43</v>
      </c>
      <c r="C242" s="33" t="s">
        <v>42</v>
      </c>
      <c r="D242" s="33">
        <v>14</v>
      </c>
      <c r="E242" s="33" t="s">
        <v>16</v>
      </c>
      <c r="F242" s="33">
        <v>1</v>
      </c>
      <c r="G242" s="33" t="b">
        <v>0</v>
      </c>
      <c r="H242" s="33" t="s">
        <v>83</v>
      </c>
      <c r="I242" s="33">
        <v>72</v>
      </c>
      <c r="J242" s="33" t="str">
        <f t="shared" si="6"/>
        <v>Mid-to-Late Career</v>
      </c>
      <c r="K242" s="33" t="str">
        <f t="shared" si="7"/>
        <v>NHC</v>
      </c>
    </row>
    <row r="243" spans="1:11" x14ac:dyDescent="0.25">
      <c r="A243" s="33" t="s">
        <v>363</v>
      </c>
      <c r="B243" s="33">
        <v>20</v>
      </c>
      <c r="C243" s="33" t="s">
        <v>1</v>
      </c>
      <c r="D243" s="33">
        <v>1</v>
      </c>
      <c r="E243" s="33" t="s">
        <v>22</v>
      </c>
      <c r="F243" s="33">
        <v>4</v>
      </c>
      <c r="G243" s="33" t="b">
        <v>1</v>
      </c>
      <c r="H243" s="33" t="s">
        <v>159</v>
      </c>
      <c r="I243" s="33">
        <v>87</v>
      </c>
      <c r="J243" s="33" t="str">
        <f t="shared" si="6"/>
        <v>Students</v>
      </c>
      <c r="K243" s="33" t="str">
        <f t="shared" si="7"/>
        <v>NHC</v>
      </c>
    </row>
    <row r="244" spans="1:11" x14ac:dyDescent="0.25">
      <c r="A244" s="33" t="s">
        <v>364</v>
      </c>
      <c r="B244" s="33">
        <v>28</v>
      </c>
      <c r="C244" s="33" t="s">
        <v>43</v>
      </c>
      <c r="D244" s="33">
        <v>5</v>
      </c>
      <c r="E244" s="33" t="s">
        <v>10</v>
      </c>
      <c r="F244" s="33">
        <v>5</v>
      </c>
      <c r="G244" s="33" t="b">
        <v>0</v>
      </c>
      <c r="H244" s="33" t="s">
        <v>165</v>
      </c>
      <c r="I244" s="33">
        <v>94</v>
      </c>
      <c r="J244" s="33" t="str">
        <f t="shared" si="6"/>
        <v>Homemakers</v>
      </c>
      <c r="K244" s="33" t="str">
        <f t="shared" si="7"/>
        <v>NHC</v>
      </c>
    </row>
    <row r="245" spans="1:11" x14ac:dyDescent="0.25">
      <c r="A245" s="33" t="s">
        <v>365</v>
      </c>
      <c r="B245" s="33">
        <v>18</v>
      </c>
      <c r="C245" s="33" t="s">
        <v>1</v>
      </c>
      <c r="D245" s="33">
        <v>0</v>
      </c>
      <c r="E245" s="33" t="s">
        <v>11</v>
      </c>
      <c r="F245" s="33">
        <v>5</v>
      </c>
      <c r="G245" s="33" t="b">
        <v>1</v>
      </c>
      <c r="H245" s="33" t="s">
        <v>159</v>
      </c>
      <c r="I245" s="33">
        <v>92</v>
      </c>
      <c r="J245" s="33" t="str">
        <f t="shared" si="6"/>
        <v>Students</v>
      </c>
      <c r="K245" s="33" t="str">
        <f t="shared" si="7"/>
        <v>NHC</v>
      </c>
    </row>
    <row r="246" spans="1:11" x14ac:dyDescent="0.25">
      <c r="A246" s="33" t="s">
        <v>130</v>
      </c>
      <c r="B246" s="33">
        <v>53</v>
      </c>
      <c r="C246" s="33" t="s">
        <v>42</v>
      </c>
      <c r="D246" s="33">
        <v>15</v>
      </c>
      <c r="E246" s="33" t="s">
        <v>14</v>
      </c>
      <c r="F246" s="33">
        <v>2</v>
      </c>
      <c r="G246" s="33" t="b">
        <v>0</v>
      </c>
      <c r="H246" s="33" t="s">
        <v>83</v>
      </c>
      <c r="I246" s="33">
        <v>67</v>
      </c>
      <c r="J246" s="33" t="str">
        <f t="shared" si="6"/>
        <v>Mid-to-Late Career</v>
      </c>
      <c r="K246" s="33" t="str">
        <f t="shared" si="7"/>
        <v>HC</v>
      </c>
    </row>
    <row r="247" spans="1:11" x14ac:dyDescent="0.25">
      <c r="A247" s="33" t="s">
        <v>366</v>
      </c>
      <c r="B247" s="33">
        <v>19</v>
      </c>
      <c r="C247" s="33" t="s">
        <v>1</v>
      </c>
      <c r="D247" s="33">
        <v>1</v>
      </c>
      <c r="E247" s="33" t="s">
        <v>11</v>
      </c>
      <c r="F247" s="33">
        <v>3</v>
      </c>
      <c r="G247" s="33" t="b">
        <v>1</v>
      </c>
      <c r="H247" s="33" t="s">
        <v>159</v>
      </c>
      <c r="I247" s="33">
        <v>89</v>
      </c>
      <c r="J247" s="33" t="str">
        <f t="shared" si="6"/>
        <v>Students</v>
      </c>
      <c r="K247" s="33" t="str">
        <f t="shared" si="7"/>
        <v>NHC</v>
      </c>
    </row>
    <row r="248" spans="1:11" x14ac:dyDescent="0.25">
      <c r="A248" s="33" t="s">
        <v>367</v>
      </c>
      <c r="B248" s="33">
        <v>21</v>
      </c>
      <c r="C248" s="33" t="s">
        <v>1</v>
      </c>
      <c r="D248" s="33">
        <v>1</v>
      </c>
      <c r="E248" s="33" t="s">
        <v>11</v>
      </c>
      <c r="F248" s="33">
        <v>3</v>
      </c>
      <c r="G248" s="33" t="b">
        <v>1</v>
      </c>
      <c r="H248" s="33" t="s">
        <v>159</v>
      </c>
      <c r="I248" s="33">
        <v>89</v>
      </c>
      <c r="J248" s="33" t="str">
        <f t="shared" si="6"/>
        <v>Students</v>
      </c>
      <c r="K248" s="33" t="str">
        <f t="shared" si="7"/>
        <v>HC</v>
      </c>
    </row>
    <row r="249" spans="1:11" x14ac:dyDescent="0.25">
      <c r="A249" s="33" t="s">
        <v>368</v>
      </c>
      <c r="B249" s="33">
        <v>20</v>
      </c>
      <c r="C249" s="33" t="s">
        <v>1</v>
      </c>
      <c r="D249" s="33">
        <v>2</v>
      </c>
      <c r="E249" s="33" t="s">
        <v>11</v>
      </c>
      <c r="F249" s="33">
        <v>5</v>
      </c>
      <c r="G249" s="33" t="b">
        <v>1</v>
      </c>
      <c r="H249" s="33" t="s">
        <v>159</v>
      </c>
      <c r="I249" s="33">
        <v>91</v>
      </c>
      <c r="J249" s="33" t="str">
        <f t="shared" si="6"/>
        <v>Students</v>
      </c>
      <c r="K249" s="33" t="str">
        <f t="shared" si="7"/>
        <v>HC</v>
      </c>
    </row>
    <row r="250" spans="1:11" x14ac:dyDescent="0.25">
      <c r="A250" s="33" t="s">
        <v>369</v>
      </c>
      <c r="B250" s="33">
        <v>30</v>
      </c>
      <c r="C250" s="33" t="s">
        <v>42</v>
      </c>
      <c r="D250" s="33">
        <v>3</v>
      </c>
      <c r="E250" s="33" t="s">
        <v>8</v>
      </c>
      <c r="F250" s="33">
        <v>0</v>
      </c>
      <c r="G250" s="33" t="b">
        <v>0</v>
      </c>
      <c r="H250" s="33" t="s">
        <v>83</v>
      </c>
      <c r="I250" s="33">
        <v>94</v>
      </c>
      <c r="J250" s="33" t="str">
        <f t="shared" si="6"/>
        <v>Young Professionals</v>
      </c>
      <c r="K250" s="33" t="str">
        <f t="shared" si="7"/>
        <v>HC</v>
      </c>
    </row>
    <row r="251" spans="1:11" x14ac:dyDescent="0.25">
      <c r="A251" s="33" t="s">
        <v>370</v>
      </c>
      <c r="B251" s="33">
        <v>19</v>
      </c>
      <c r="C251" s="33" t="s">
        <v>1</v>
      </c>
      <c r="D251" s="33">
        <v>2</v>
      </c>
      <c r="E251" s="33" t="s">
        <v>22</v>
      </c>
      <c r="F251" s="33">
        <v>4</v>
      </c>
      <c r="G251" s="33" t="b">
        <v>1</v>
      </c>
      <c r="H251" s="33" t="s">
        <v>159</v>
      </c>
      <c r="I251" s="33">
        <v>85</v>
      </c>
      <c r="J251" s="33" t="str">
        <f t="shared" si="6"/>
        <v>Students</v>
      </c>
      <c r="K251" s="33" t="str">
        <f t="shared" si="7"/>
        <v>NHC</v>
      </c>
    </row>
    <row r="252" spans="1:11" x14ac:dyDescent="0.25">
      <c r="A252" s="33" t="s">
        <v>371</v>
      </c>
      <c r="B252" s="33">
        <v>22</v>
      </c>
      <c r="C252" s="33" t="s">
        <v>43</v>
      </c>
      <c r="D252" s="33">
        <v>6</v>
      </c>
      <c r="E252" s="33" t="s">
        <v>8</v>
      </c>
      <c r="F252" s="33">
        <v>5</v>
      </c>
      <c r="G252" s="33" t="b">
        <v>0</v>
      </c>
      <c r="H252" s="33" t="s">
        <v>165</v>
      </c>
      <c r="I252" s="33">
        <v>93</v>
      </c>
      <c r="J252" s="33" t="str">
        <f t="shared" si="6"/>
        <v>Homemakers</v>
      </c>
      <c r="K252" s="33" t="str">
        <f t="shared" si="7"/>
        <v>NHC</v>
      </c>
    </row>
    <row r="253" spans="1:11" x14ac:dyDescent="0.25">
      <c r="A253" s="33" t="s">
        <v>372</v>
      </c>
      <c r="B253" s="33">
        <v>22</v>
      </c>
      <c r="C253" s="33" t="s">
        <v>42</v>
      </c>
      <c r="D253" s="33">
        <v>1</v>
      </c>
      <c r="E253" s="33" t="s">
        <v>10</v>
      </c>
      <c r="F253" s="33">
        <v>1</v>
      </c>
      <c r="G253" s="33" t="b">
        <v>0</v>
      </c>
      <c r="H253" s="33" t="s">
        <v>83</v>
      </c>
      <c r="I253" s="33">
        <v>95</v>
      </c>
      <c r="J253" s="33" t="str">
        <f t="shared" si="6"/>
        <v>Young Professionals</v>
      </c>
      <c r="K253" s="33" t="str">
        <f t="shared" si="7"/>
        <v>NHC</v>
      </c>
    </row>
    <row r="254" spans="1:11" x14ac:dyDescent="0.25">
      <c r="A254" s="33" t="s">
        <v>373</v>
      </c>
      <c r="B254" s="33">
        <v>57</v>
      </c>
      <c r="C254" s="33" t="s">
        <v>43</v>
      </c>
      <c r="D254" s="33">
        <v>29</v>
      </c>
      <c r="E254" s="33" t="s">
        <v>8</v>
      </c>
      <c r="F254" s="33">
        <v>5</v>
      </c>
      <c r="G254" s="33" t="b">
        <v>0</v>
      </c>
      <c r="H254" s="33" t="s">
        <v>165</v>
      </c>
      <c r="I254" s="33">
        <v>92</v>
      </c>
      <c r="J254" s="33" t="str">
        <f t="shared" si="6"/>
        <v>Homemakers</v>
      </c>
      <c r="K254" s="33" t="str">
        <f t="shared" si="7"/>
        <v>NHC</v>
      </c>
    </row>
    <row r="255" spans="1:11" x14ac:dyDescent="0.25">
      <c r="A255" s="33" t="s">
        <v>374</v>
      </c>
      <c r="B255" s="33">
        <v>18</v>
      </c>
      <c r="C255" s="33" t="s">
        <v>1</v>
      </c>
      <c r="D255" s="33">
        <v>0</v>
      </c>
      <c r="E255" s="33" t="s">
        <v>16</v>
      </c>
      <c r="F255" s="33">
        <v>5</v>
      </c>
      <c r="G255" s="33" t="b">
        <v>1</v>
      </c>
      <c r="H255" s="33" t="s">
        <v>159</v>
      </c>
      <c r="I255" s="33">
        <v>85</v>
      </c>
      <c r="J255" s="33" t="str">
        <f t="shared" si="6"/>
        <v>Students</v>
      </c>
      <c r="K255" s="33" t="str">
        <f t="shared" si="7"/>
        <v>NHC</v>
      </c>
    </row>
    <row r="256" spans="1:11" x14ac:dyDescent="0.25">
      <c r="A256" s="33" t="s">
        <v>375</v>
      </c>
      <c r="B256" s="33">
        <v>30</v>
      </c>
      <c r="C256" s="33" t="s">
        <v>42</v>
      </c>
      <c r="D256" s="33">
        <v>1</v>
      </c>
      <c r="E256" s="33" t="s">
        <v>10</v>
      </c>
      <c r="F256" s="33">
        <v>0</v>
      </c>
      <c r="G256" s="33" t="b">
        <v>1</v>
      </c>
      <c r="H256" s="33" t="s">
        <v>83</v>
      </c>
      <c r="I256" s="33">
        <v>94</v>
      </c>
      <c r="J256" s="33" t="str">
        <f t="shared" si="6"/>
        <v>Young Professionals</v>
      </c>
      <c r="K256" s="33" t="str">
        <f t="shared" si="7"/>
        <v>NHC</v>
      </c>
    </row>
    <row r="257" spans="1:11" x14ac:dyDescent="0.25">
      <c r="A257" s="33" t="s">
        <v>376</v>
      </c>
      <c r="B257" s="33">
        <v>58</v>
      </c>
      <c r="C257" s="33" t="s">
        <v>44</v>
      </c>
      <c r="D257" s="33">
        <v>29</v>
      </c>
      <c r="E257" s="33" t="s">
        <v>10</v>
      </c>
      <c r="F257" s="33">
        <v>5</v>
      </c>
      <c r="G257" s="33" t="b">
        <v>0</v>
      </c>
      <c r="H257" s="33" t="s">
        <v>165</v>
      </c>
      <c r="I257" s="33">
        <v>92</v>
      </c>
      <c r="J257" s="33" t="str">
        <f t="shared" si="6"/>
        <v>Retirees</v>
      </c>
      <c r="K257" s="33" t="str">
        <f t="shared" si="7"/>
        <v>NHC</v>
      </c>
    </row>
    <row r="258" spans="1:11" x14ac:dyDescent="0.25">
      <c r="A258" s="33" t="s">
        <v>377</v>
      </c>
      <c r="B258" s="33">
        <v>20</v>
      </c>
      <c r="C258" s="33" t="s">
        <v>1</v>
      </c>
      <c r="D258" s="33">
        <v>1</v>
      </c>
      <c r="E258" s="33" t="s">
        <v>11</v>
      </c>
      <c r="F258" s="33">
        <v>4</v>
      </c>
      <c r="G258" s="33" t="b">
        <v>1</v>
      </c>
      <c r="H258" s="33" t="s">
        <v>159</v>
      </c>
      <c r="I258" s="33">
        <v>87</v>
      </c>
      <c r="J258" s="33" t="str">
        <f t="shared" ref="J258:J321" si="8">IF(C258="Student", "Students", IF(AND(C258="Employed", B258&gt;=22, B258&lt;=30), "Young Professionals", IF(AND(C258="Employed", B258&gt;=31, B258&lt;=55), "Mid-to-Late Career", IF(C258="Retired", "Retirees", "Homemakers"))))</f>
        <v>Students</v>
      </c>
      <c r="K258" s="33" t="str">
        <f t="shared" ref="K258:K321" si="9">IF(E257="Healthcare &amp; Life Sciences", "HC", "NHC")</f>
        <v>NHC</v>
      </c>
    </row>
    <row r="259" spans="1:11" x14ac:dyDescent="0.25">
      <c r="A259" s="33" t="s">
        <v>129</v>
      </c>
      <c r="B259" s="33">
        <v>48</v>
      </c>
      <c r="C259" s="33" t="s">
        <v>42</v>
      </c>
      <c r="D259" s="33">
        <v>17</v>
      </c>
      <c r="E259" s="33" t="s">
        <v>18</v>
      </c>
      <c r="F259" s="33">
        <v>2</v>
      </c>
      <c r="G259" s="33" t="b">
        <v>0</v>
      </c>
      <c r="H259" s="33" t="s">
        <v>83</v>
      </c>
      <c r="I259" s="33">
        <v>69</v>
      </c>
      <c r="J259" s="33" t="str">
        <f t="shared" si="8"/>
        <v>Mid-to-Late Career</v>
      </c>
      <c r="K259" s="33" t="str">
        <f t="shared" si="9"/>
        <v>HC</v>
      </c>
    </row>
    <row r="260" spans="1:11" x14ac:dyDescent="0.25">
      <c r="A260" s="33" t="s">
        <v>378</v>
      </c>
      <c r="B260" s="33">
        <v>20</v>
      </c>
      <c r="C260" s="33" t="s">
        <v>1</v>
      </c>
      <c r="D260" s="33">
        <v>1</v>
      </c>
      <c r="E260" s="33" t="s">
        <v>11</v>
      </c>
      <c r="F260" s="33">
        <v>5</v>
      </c>
      <c r="G260" s="33" t="b">
        <v>1</v>
      </c>
      <c r="H260" s="33" t="s">
        <v>159</v>
      </c>
      <c r="I260" s="33">
        <v>91</v>
      </c>
      <c r="J260" s="33" t="str">
        <f t="shared" si="8"/>
        <v>Students</v>
      </c>
      <c r="K260" s="33" t="str">
        <f t="shared" si="9"/>
        <v>NHC</v>
      </c>
    </row>
    <row r="261" spans="1:11" x14ac:dyDescent="0.25">
      <c r="A261" s="33" t="s">
        <v>379</v>
      </c>
      <c r="B261" s="33">
        <v>23</v>
      </c>
      <c r="C261" s="33" t="s">
        <v>43</v>
      </c>
      <c r="D261" s="33">
        <v>3</v>
      </c>
      <c r="E261" s="33" t="s">
        <v>14</v>
      </c>
      <c r="F261" s="33">
        <v>4</v>
      </c>
      <c r="G261" s="33" t="b">
        <v>0</v>
      </c>
      <c r="H261" s="33" t="s">
        <v>165</v>
      </c>
      <c r="I261" s="33">
        <v>92</v>
      </c>
      <c r="J261" s="33" t="str">
        <f t="shared" si="8"/>
        <v>Homemakers</v>
      </c>
      <c r="K261" s="33" t="str">
        <f t="shared" si="9"/>
        <v>HC</v>
      </c>
    </row>
    <row r="262" spans="1:11" x14ac:dyDescent="0.25">
      <c r="A262" s="33" t="s">
        <v>380</v>
      </c>
      <c r="B262" s="33">
        <v>28</v>
      </c>
      <c r="C262" s="33" t="s">
        <v>42</v>
      </c>
      <c r="D262" s="33">
        <v>5</v>
      </c>
      <c r="E262" s="33" t="s">
        <v>22</v>
      </c>
      <c r="F262" s="33">
        <v>0</v>
      </c>
      <c r="G262" s="33" t="b">
        <v>1</v>
      </c>
      <c r="H262" s="33" t="s">
        <v>83</v>
      </c>
      <c r="I262" s="33">
        <v>91</v>
      </c>
      <c r="J262" s="33" t="str">
        <f t="shared" si="8"/>
        <v>Young Professionals</v>
      </c>
      <c r="K262" s="33" t="str">
        <f t="shared" si="9"/>
        <v>NHC</v>
      </c>
    </row>
    <row r="263" spans="1:11" x14ac:dyDescent="0.25">
      <c r="A263" s="33" t="s">
        <v>381</v>
      </c>
      <c r="B263" s="33">
        <v>20</v>
      </c>
      <c r="C263" s="33" t="s">
        <v>1</v>
      </c>
      <c r="D263" s="33">
        <v>0</v>
      </c>
      <c r="E263" s="33" t="s">
        <v>11</v>
      </c>
      <c r="F263" s="33">
        <v>5</v>
      </c>
      <c r="G263" s="33" t="b">
        <v>1</v>
      </c>
      <c r="H263" s="33" t="s">
        <v>159</v>
      </c>
      <c r="I263" s="33">
        <v>87</v>
      </c>
      <c r="J263" s="33" t="str">
        <f t="shared" si="8"/>
        <v>Students</v>
      </c>
      <c r="K263" s="33" t="str">
        <f t="shared" si="9"/>
        <v>NHC</v>
      </c>
    </row>
    <row r="264" spans="1:11" x14ac:dyDescent="0.25">
      <c r="A264" s="33" t="s">
        <v>128</v>
      </c>
      <c r="B264" s="33">
        <v>54</v>
      </c>
      <c r="C264" s="33" t="s">
        <v>42</v>
      </c>
      <c r="D264" s="33">
        <v>16</v>
      </c>
      <c r="E264" s="33" t="s">
        <v>20</v>
      </c>
      <c r="F264" s="33">
        <v>0</v>
      </c>
      <c r="G264" s="33" t="b">
        <v>0</v>
      </c>
      <c r="H264" s="33" t="s">
        <v>83</v>
      </c>
      <c r="I264" s="33">
        <v>72</v>
      </c>
      <c r="J264" s="33" t="str">
        <f t="shared" si="8"/>
        <v>Mid-to-Late Career</v>
      </c>
      <c r="K264" s="33" t="str">
        <f t="shared" si="9"/>
        <v>HC</v>
      </c>
    </row>
    <row r="265" spans="1:11" x14ac:dyDescent="0.25">
      <c r="A265" s="33" t="s">
        <v>382</v>
      </c>
      <c r="B265" s="33">
        <v>18</v>
      </c>
      <c r="C265" s="33" t="s">
        <v>1</v>
      </c>
      <c r="D265" s="33">
        <v>1</v>
      </c>
      <c r="E265" s="33" t="s">
        <v>11</v>
      </c>
      <c r="F265" s="33">
        <v>3</v>
      </c>
      <c r="G265" s="33" t="b">
        <v>1</v>
      </c>
      <c r="H265" s="33" t="s">
        <v>159</v>
      </c>
      <c r="I265" s="33">
        <v>88</v>
      </c>
      <c r="J265" s="33" t="str">
        <f t="shared" si="8"/>
        <v>Students</v>
      </c>
      <c r="K265" s="33" t="str">
        <f t="shared" si="9"/>
        <v>NHC</v>
      </c>
    </row>
    <row r="266" spans="1:11" x14ac:dyDescent="0.25">
      <c r="A266" s="33" t="s">
        <v>383</v>
      </c>
      <c r="B266" s="33">
        <v>20</v>
      </c>
      <c r="C266" s="33" t="s">
        <v>1</v>
      </c>
      <c r="D266" s="33">
        <v>1</v>
      </c>
      <c r="E266" s="33" t="s">
        <v>11</v>
      </c>
      <c r="F266" s="33">
        <v>3</v>
      </c>
      <c r="G266" s="33" t="b">
        <v>1</v>
      </c>
      <c r="H266" s="33" t="s">
        <v>159</v>
      </c>
      <c r="I266" s="33">
        <v>89</v>
      </c>
      <c r="J266" s="33" t="str">
        <f t="shared" si="8"/>
        <v>Students</v>
      </c>
      <c r="K266" s="33" t="str">
        <f t="shared" si="9"/>
        <v>HC</v>
      </c>
    </row>
    <row r="267" spans="1:11" x14ac:dyDescent="0.25">
      <c r="A267" s="33" t="s">
        <v>384</v>
      </c>
      <c r="B267" s="33">
        <v>24</v>
      </c>
      <c r="C267" s="33" t="s">
        <v>42</v>
      </c>
      <c r="D267" s="33">
        <v>1</v>
      </c>
      <c r="E267" s="33" t="s">
        <v>16</v>
      </c>
      <c r="F267" s="33">
        <v>1</v>
      </c>
      <c r="G267" s="33" t="b">
        <v>0</v>
      </c>
      <c r="H267" s="33" t="s">
        <v>83</v>
      </c>
      <c r="I267" s="33">
        <v>89</v>
      </c>
      <c r="J267" s="33" t="str">
        <f t="shared" si="8"/>
        <v>Young Professionals</v>
      </c>
      <c r="K267" s="33" t="str">
        <f t="shared" si="9"/>
        <v>HC</v>
      </c>
    </row>
    <row r="268" spans="1:11" x14ac:dyDescent="0.25">
      <c r="A268" s="33" t="s">
        <v>385</v>
      </c>
      <c r="B268" s="33">
        <v>29</v>
      </c>
      <c r="C268" s="33" t="s">
        <v>43</v>
      </c>
      <c r="D268" s="33">
        <v>4</v>
      </c>
      <c r="E268" s="33" t="s">
        <v>10</v>
      </c>
      <c r="F268" s="33">
        <v>3</v>
      </c>
      <c r="G268" s="33" t="b">
        <v>0</v>
      </c>
      <c r="H268" s="33" t="s">
        <v>165</v>
      </c>
      <c r="I268" s="33">
        <v>95</v>
      </c>
      <c r="J268" s="33" t="str">
        <f t="shared" si="8"/>
        <v>Homemakers</v>
      </c>
      <c r="K268" s="33" t="str">
        <f t="shared" si="9"/>
        <v>NHC</v>
      </c>
    </row>
    <row r="269" spans="1:11" x14ac:dyDescent="0.25">
      <c r="A269" s="33" t="s">
        <v>386</v>
      </c>
      <c r="B269" s="33">
        <v>18</v>
      </c>
      <c r="C269" s="33" t="s">
        <v>1</v>
      </c>
      <c r="D269" s="33">
        <v>2</v>
      </c>
      <c r="E269" s="33" t="s">
        <v>11</v>
      </c>
      <c r="F269" s="33">
        <v>5</v>
      </c>
      <c r="G269" s="33" t="b">
        <v>1</v>
      </c>
      <c r="H269" s="33" t="s">
        <v>159</v>
      </c>
      <c r="I269" s="33">
        <v>93</v>
      </c>
      <c r="J269" s="33" t="str">
        <f t="shared" si="8"/>
        <v>Students</v>
      </c>
      <c r="K269" s="33" t="str">
        <f t="shared" si="9"/>
        <v>NHC</v>
      </c>
    </row>
    <row r="270" spans="1:11" x14ac:dyDescent="0.25">
      <c r="A270" s="33" t="s">
        <v>387</v>
      </c>
      <c r="B270" s="33">
        <v>60</v>
      </c>
      <c r="C270" s="33" t="s">
        <v>44</v>
      </c>
      <c r="D270" s="33">
        <v>38</v>
      </c>
      <c r="E270" s="33" t="s">
        <v>11</v>
      </c>
      <c r="F270" s="33">
        <v>6</v>
      </c>
      <c r="G270" s="33" t="b">
        <v>0</v>
      </c>
      <c r="H270" s="33" t="s">
        <v>165</v>
      </c>
      <c r="I270" s="33">
        <v>92</v>
      </c>
      <c r="J270" s="33" t="str">
        <f t="shared" si="8"/>
        <v>Retirees</v>
      </c>
      <c r="K270" s="33" t="str">
        <f t="shared" si="9"/>
        <v>HC</v>
      </c>
    </row>
    <row r="271" spans="1:11" x14ac:dyDescent="0.25">
      <c r="A271" s="33" t="s">
        <v>388</v>
      </c>
      <c r="B271" s="33">
        <v>21</v>
      </c>
      <c r="C271" s="33" t="s">
        <v>1</v>
      </c>
      <c r="D271" s="33">
        <v>2</v>
      </c>
      <c r="E271" s="33" t="s">
        <v>11</v>
      </c>
      <c r="F271" s="33">
        <v>3</v>
      </c>
      <c r="G271" s="33" t="b">
        <v>1</v>
      </c>
      <c r="H271" s="33" t="s">
        <v>159</v>
      </c>
      <c r="I271" s="33">
        <v>87</v>
      </c>
      <c r="J271" s="33" t="str">
        <f t="shared" si="8"/>
        <v>Students</v>
      </c>
      <c r="K271" s="33" t="str">
        <f t="shared" si="9"/>
        <v>HC</v>
      </c>
    </row>
    <row r="272" spans="1:11" x14ac:dyDescent="0.25">
      <c r="A272" s="33" t="s">
        <v>389</v>
      </c>
      <c r="B272" s="33">
        <v>19</v>
      </c>
      <c r="C272" s="33" t="s">
        <v>1</v>
      </c>
      <c r="D272" s="33">
        <v>1</v>
      </c>
      <c r="E272" s="33" t="s">
        <v>16</v>
      </c>
      <c r="F272" s="33">
        <v>3</v>
      </c>
      <c r="G272" s="33" t="b">
        <v>0</v>
      </c>
      <c r="H272" s="33" t="s">
        <v>159</v>
      </c>
      <c r="I272" s="33">
        <v>83</v>
      </c>
      <c r="J272" s="33" t="str">
        <f t="shared" si="8"/>
        <v>Students</v>
      </c>
      <c r="K272" s="33" t="str">
        <f t="shared" si="9"/>
        <v>HC</v>
      </c>
    </row>
    <row r="273" spans="1:11" x14ac:dyDescent="0.25">
      <c r="A273" s="33" t="s">
        <v>390</v>
      </c>
      <c r="B273" s="33">
        <v>29</v>
      </c>
      <c r="C273" s="33" t="s">
        <v>42</v>
      </c>
      <c r="D273" s="33">
        <v>5</v>
      </c>
      <c r="E273" s="33" t="s">
        <v>11</v>
      </c>
      <c r="F273" s="33">
        <v>3</v>
      </c>
      <c r="G273" s="33" t="b">
        <v>0</v>
      </c>
      <c r="H273" s="33" t="s">
        <v>83</v>
      </c>
      <c r="I273" s="33">
        <v>89</v>
      </c>
      <c r="J273" s="33" t="str">
        <f t="shared" si="8"/>
        <v>Young Professionals</v>
      </c>
      <c r="K273" s="33" t="str">
        <f t="shared" si="9"/>
        <v>NHC</v>
      </c>
    </row>
    <row r="274" spans="1:11" x14ac:dyDescent="0.25">
      <c r="A274" s="33" t="s">
        <v>391</v>
      </c>
      <c r="B274" s="33">
        <v>26</v>
      </c>
      <c r="C274" s="33" t="s">
        <v>42</v>
      </c>
      <c r="D274" s="33">
        <v>5</v>
      </c>
      <c r="E274" s="33" t="s">
        <v>13</v>
      </c>
      <c r="F274" s="33">
        <v>0</v>
      </c>
      <c r="G274" s="33" t="b">
        <v>0</v>
      </c>
      <c r="H274" s="33" t="s">
        <v>83</v>
      </c>
      <c r="I274" s="33">
        <v>93</v>
      </c>
      <c r="J274" s="33" t="str">
        <f t="shared" si="8"/>
        <v>Young Professionals</v>
      </c>
      <c r="K274" s="33" t="str">
        <f t="shared" si="9"/>
        <v>HC</v>
      </c>
    </row>
    <row r="275" spans="1:11" x14ac:dyDescent="0.25">
      <c r="A275" s="33" t="s">
        <v>392</v>
      </c>
      <c r="B275" s="33">
        <v>30</v>
      </c>
      <c r="C275" s="33" t="s">
        <v>42</v>
      </c>
      <c r="D275" s="33">
        <v>5</v>
      </c>
      <c r="E275" s="33" t="s">
        <v>10</v>
      </c>
      <c r="F275" s="33">
        <v>1</v>
      </c>
      <c r="G275" s="33" t="b">
        <v>0</v>
      </c>
      <c r="H275" s="33" t="s">
        <v>83</v>
      </c>
      <c r="I275" s="33">
        <v>90</v>
      </c>
      <c r="J275" s="33" t="str">
        <f t="shared" si="8"/>
        <v>Young Professionals</v>
      </c>
      <c r="K275" s="33" t="str">
        <f t="shared" si="9"/>
        <v>NHC</v>
      </c>
    </row>
    <row r="276" spans="1:11" x14ac:dyDescent="0.25">
      <c r="A276" s="33" t="s">
        <v>393</v>
      </c>
      <c r="B276" s="33">
        <v>29</v>
      </c>
      <c r="C276" s="33" t="s">
        <v>42</v>
      </c>
      <c r="D276" s="33">
        <v>5</v>
      </c>
      <c r="E276" s="33" t="s">
        <v>22</v>
      </c>
      <c r="F276" s="33">
        <v>2</v>
      </c>
      <c r="G276" s="33" t="b">
        <v>0</v>
      </c>
      <c r="H276" s="33" t="s">
        <v>83</v>
      </c>
      <c r="I276" s="33">
        <v>94</v>
      </c>
      <c r="J276" s="33" t="str">
        <f t="shared" si="8"/>
        <v>Young Professionals</v>
      </c>
      <c r="K276" s="33" t="str">
        <f t="shared" si="9"/>
        <v>NHC</v>
      </c>
    </row>
    <row r="277" spans="1:11" x14ac:dyDescent="0.25">
      <c r="A277" s="33" t="s">
        <v>127</v>
      </c>
      <c r="B277" s="33">
        <v>46</v>
      </c>
      <c r="C277" s="33" t="s">
        <v>42</v>
      </c>
      <c r="D277" s="33">
        <v>9</v>
      </c>
      <c r="E277" s="33" t="s">
        <v>16</v>
      </c>
      <c r="F277" s="33">
        <v>1</v>
      </c>
      <c r="G277" s="33" t="b">
        <v>0</v>
      </c>
      <c r="H277" s="33" t="s">
        <v>83</v>
      </c>
      <c r="I277" s="33">
        <v>73</v>
      </c>
      <c r="J277" s="33" t="str">
        <f t="shared" si="8"/>
        <v>Mid-to-Late Career</v>
      </c>
      <c r="K277" s="33" t="str">
        <f t="shared" si="9"/>
        <v>NHC</v>
      </c>
    </row>
    <row r="278" spans="1:11" x14ac:dyDescent="0.25">
      <c r="A278" s="33" t="s">
        <v>126</v>
      </c>
      <c r="B278" s="33">
        <v>44</v>
      </c>
      <c r="C278" s="33" t="s">
        <v>42</v>
      </c>
      <c r="D278" s="33">
        <v>24</v>
      </c>
      <c r="E278" s="33" t="s">
        <v>13</v>
      </c>
      <c r="F278" s="33">
        <v>2</v>
      </c>
      <c r="G278" s="33" t="b">
        <v>0</v>
      </c>
      <c r="H278" s="33" t="s">
        <v>83</v>
      </c>
      <c r="I278" s="33">
        <v>70</v>
      </c>
      <c r="J278" s="33" t="str">
        <f t="shared" si="8"/>
        <v>Mid-to-Late Career</v>
      </c>
      <c r="K278" s="33" t="str">
        <f t="shared" si="9"/>
        <v>NHC</v>
      </c>
    </row>
    <row r="279" spans="1:11" x14ac:dyDescent="0.25">
      <c r="A279" s="33" t="s">
        <v>125</v>
      </c>
      <c r="B279" s="33">
        <v>52</v>
      </c>
      <c r="C279" s="33" t="s">
        <v>42</v>
      </c>
      <c r="D279" s="33">
        <v>12</v>
      </c>
      <c r="E279" s="33" t="s">
        <v>18</v>
      </c>
      <c r="F279" s="33">
        <v>0</v>
      </c>
      <c r="G279" s="33" t="b">
        <v>0</v>
      </c>
      <c r="H279" s="33" t="s">
        <v>83</v>
      </c>
      <c r="I279" s="33">
        <v>73</v>
      </c>
      <c r="J279" s="33" t="str">
        <f t="shared" si="8"/>
        <v>Mid-to-Late Career</v>
      </c>
      <c r="K279" s="33" t="str">
        <f t="shared" si="9"/>
        <v>NHC</v>
      </c>
    </row>
    <row r="280" spans="1:11" x14ac:dyDescent="0.25">
      <c r="A280" s="33" t="s">
        <v>394</v>
      </c>
      <c r="B280" s="33">
        <v>23</v>
      </c>
      <c r="C280" s="33" t="s">
        <v>42</v>
      </c>
      <c r="D280" s="33">
        <v>3</v>
      </c>
      <c r="E280" s="33" t="s">
        <v>8</v>
      </c>
      <c r="F280" s="33">
        <v>0</v>
      </c>
      <c r="G280" s="33" t="b">
        <v>0</v>
      </c>
      <c r="H280" s="33" t="s">
        <v>83</v>
      </c>
      <c r="I280" s="33">
        <v>92</v>
      </c>
      <c r="J280" s="33" t="str">
        <f t="shared" si="8"/>
        <v>Young Professionals</v>
      </c>
      <c r="K280" s="33" t="str">
        <f t="shared" si="9"/>
        <v>NHC</v>
      </c>
    </row>
    <row r="281" spans="1:11" x14ac:dyDescent="0.25">
      <c r="A281" s="33" t="s">
        <v>395</v>
      </c>
      <c r="B281" s="33">
        <v>19</v>
      </c>
      <c r="C281" s="33" t="s">
        <v>1</v>
      </c>
      <c r="D281" s="33">
        <v>0</v>
      </c>
      <c r="E281" s="33" t="s">
        <v>11</v>
      </c>
      <c r="F281" s="33">
        <v>4</v>
      </c>
      <c r="G281" s="33" t="b">
        <v>1</v>
      </c>
      <c r="H281" s="33" t="s">
        <v>159</v>
      </c>
      <c r="I281" s="33">
        <v>90</v>
      </c>
      <c r="J281" s="33" t="str">
        <f t="shared" si="8"/>
        <v>Students</v>
      </c>
      <c r="K281" s="33" t="str">
        <f t="shared" si="9"/>
        <v>NHC</v>
      </c>
    </row>
    <row r="282" spans="1:11" x14ac:dyDescent="0.25">
      <c r="A282" s="33" t="s">
        <v>396</v>
      </c>
      <c r="B282" s="33">
        <v>23</v>
      </c>
      <c r="C282" s="33" t="s">
        <v>42</v>
      </c>
      <c r="D282" s="33">
        <v>1</v>
      </c>
      <c r="E282" s="33" t="s">
        <v>20</v>
      </c>
      <c r="F282" s="33">
        <v>0</v>
      </c>
      <c r="G282" s="33" t="b">
        <v>0</v>
      </c>
      <c r="H282" s="33" t="s">
        <v>83</v>
      </c>
      <c r="I282" s="33">
        <v>91</v>
      </c>
      <c r="J282" s="33" t="str">
        <f t="shared" si="8"/>
        <v>Young Professionals</v>
      </c>
      <c r="K282" s="33" t="str">
        <f t="shared" si="9"/>
        <v>HC</v>
      </c>
    </row>
    <row r="283" spans="1:11" x14ac:dyDescent="0.25">
      <c r="A283" s="33" t="s">
        <v>397</v>
      </c>
      <c r="B283" s="33">
        <v>25</v>
      </c>
      <c r="C283" s="33" t="s">
        <v>42</v>
      </c>
      <c r="D283" s="33">
        <v>2</v>
      </c>
      <c r="E283" s="33" t="s">
        <v>11</v>
      </c>
      <c r="F283" s="33">
        <v>2</v>
      </c>
      <c r="G283" s="33" t="b">
        <v>0</v>
      </c>
      <c r="H283" s="33" t="s">
        <v>83</v>
      </c>
      <c r="I283" s="33">
        <v>93</v>
      </c>
      <c r="J283" s="33" t="str">
        <f t="shared" si="8"/>
        <v>Young Professionals</v>
      </c>
      <c r="K283" s="33" t="str">
        <f t="shared" si="9"/>
        <v>NHC</v>
      </c>
    </row>
    <row r="284" spans="1:11" x14ac:dyDescent="0.25">
      <c r="A284" s="33" t="s">
        <v>398</v>
      </c>
      <c r="B284" s="33">
        <v>75</v>
      </c>
      <c r="C284" s="33" t="s">
        <v>44</v>
      </c>
      <c r="D284" s="33">
        <v>34</v>
      </c>
      <c r="E284" s="33" t="s">
        <v>22</v>
      </c>
      <c r="F284" s="33">
        <v>3</v>
      </c>
      <c r="G284" s="33" t="b">
        <v>0</v>
      </c>
      <c r="H284" s="33" t="s">
        <v>165</v>
      </c>
      <c r="I284" s="33">
        <v>86</v>
      </c>
      <c r="J284" s="33" t="str">
        <f t="shared" si="8"/>
        <v>Retirees</v>
      </c>
      <c r="K284" s="33" t="str">
        <f t="shared" si="9"/>
        <v>HC</v>
      </c>
    </row>
    <row r="285" spans="1:11" x14ac:dyDescent="0.25">
      <c r="A285" s="33" t="s">
        <v>399</v>
      </c>
      <c r="B285" s="33">
        <v>26</v>
      </c>
      <c r="C285" s="33" t="s">
        <v>42</v>
      </c>
      <c r="D285" s="33">
        <v>3</v>
      </c>
      <c r="E285" s="33" t="s">
        <v>11</v>
      </c>
      <c r="F285" s="33">
        <v>2</v>
      </c>
      <c r="G285" s="33" t="b">
        <v>0</v>
      </c>
      <c r="H285" s="33" t="s">
        <v>83</v>
      </c>
      <c r="I285" s="33">
        <v>87</v>
      </c>
      <c r="J285" s="33" t="str">
        <f t="shared" si="8"/>
        <v>Young Professionals</v>
      </c>
      <c r="K285" s="33" t="str">
        <f t="shared" si="9"/>
        <v>NHC</v>
      </c>
    </row>
    <row r="286" spans="1:11" x14ac:dyDescent="0.25">
      <c r="A286" s="33" t="s">
        <v>400</v>
      </c>
      <c r="B286" s="33">
        <v>18</v>
      </c>
      <c r="C286" s="33" t="s">
        <v>1</v>
      </c>
      <c r="D286" s="33">
        <v>1</v>
      </c>
      <c r="E286" s="33" t="s">
        <v>11</v>
      </c>
      <c r="F286" s="33">
        <v>5</v>
      </c>
      <c r="G286" s="33" t="b">
        <v>1</v>
      </c>
      <c r="H286" s="33" t="s">
        <v>159</v>
      </c>
      <c r="I286" s="33">
        <v>92</v>
      </c>
      <c r="J286" s="33" t="str">
        <f t="shared" si="8"/>
        <v>Students</v>
      </c>
      <c r="K286" s="33" t="str">
        <f t="shared" si="9"/>
        <v>HC</v>
      </c>
    </row>
    <row r="287" spans="1:11" x14ac:dyDescent="0.25">
      <c r="A287" s="33" t="s">
        <v>401</v>
      </c>
      <c r="B287" s="33">
        <v>59</v>
      </c>
      <c r="C287" s="33" t="s">
        <v>44</v>
      </c>
      <c r="D287" s="33">
        <v>31</v>
      </c>
      <c r="E287" s="33" t="s">
        <v>14</v>
      </c>
      <c r="F287" s="33">
        <v>4</v>
      </c>
      <c r="G287" s="33" t="b">
        <v>0</v>
      </c>
      <c r="H287" s="33" t="s">
        <v>165</v>
      </c>
      <c r="I287" s="33">
        <v>88</v>
      </c>
      <c r="J287" s="33" t="str">
        <f t="shared" si="8"/>
        <v>Retirees</v>
      </c>
      <c r="K287" s="33" t="str">
        <f t="shared" si="9"/>
        <v>HC</v>
      </c>
    </row>
    <row r="288" spans="1:11" x14ac:dyDescent="0.25">
      <c r="A288" s="33" t="s">
        <v>402</v>
      </c>
      <c r="B288" s="33">
        <v>30</v>
      </c>
      <c r="C288" s="33" t="s">
        <v>42</v>
      </c>
      <c r="D288" s="33">
        <v>0</v>
      </c>
      <c r="E288" s="33" t="s">
        <v>22</v>
      </c>
      <c r="F288" s="33">
        <v>0</v>
      </c>
      <c r="G288" s="33" t="b">
        <v>0</v>
      </c>
      <c r="H288" s="33" t="s">
        <v>83</v>
      </c>
      <c r="I288" s="33">
        <v>92</v>
      </c>
      <c r="J288" s="33" t="str">
        <f t="shared" si="8"/>
        <v>Young Professionals</v>
      </c>
      <c r="K288" s="33" t="str">
        <f t="shared" si="9"/>
        <v>NHC</v>
      </c>
    </row>
    <row r="289" spans="1:11" x14ac:dyDescent="0.25">
      <c r="A289" s="33" t="s">
        <v>403</v>
      </c>
      <c r="B289" s="33">
        <v>29</v>
      </c>
      <c r="C289" s="33" t="s">
        <v>43</v>
      </c>
      <c r="D289" s="33">
        <v>13</v>
      </c>
      <c r="E289" s="33" t="s">
        <v>13</v>
      </c>
      <c r="F289" s="33">
        <v>3</v>
      </c>
      <c r="G289" s="33" t="b">
        <v>0</v>
      </c>
      <c r="H289" s="33" t="s">
        <v>165</v>
      </c>
      <c r="I289" s="33">
        <v>94</v>
      </c>
      <c r="J289" s="33" t="str">
        <f t="shared" si="8"/>
        <v>Homemakers</v>
      </c>
      <c r="K289" s="33" t="str">
        <f t="shared" si="9"/>
        <v>NHC</v>
      </c>
    </row>
    <row r="290" spans="1:11" x14ac:dyDescent="0.25">
      <c r="A290" s="33" t="s">
        <v>124</v>
      </c>
      <c r="B290" s="33">
        <v>52</v>
      </c>
      <c r="C290" s="33" t="s">
        <v>42</v>
      </c>
      <c r="D290" s="33">
        <v>13</v>
      </c>
      <c r="E290" s="33" t="s">
        <v>22</v>
      </c>
      <c r="F290" s="33">
        <v>2</v>
      </c>
      <c r="G290" s="33" t="b">
        <v>1</v>
      </c>
      <c r="H290" s="33" t="s">
        <v>83</v>
      </c>
      <c r="I290" s="33">
        <v>67</v>
      </c>
      <c r="J290" s="33" t="str">
        <f t="shared" si="8"/>
        <v>Mid-to-Late Career</v>
      </c>
      <c r="K290" s="33" t="str">
        <f t="shared" si="9"/>
        <v>NHC</v>
      </c>
    </row>
    <row r="291" spans="1:11" x14ac:dyDescent="0.25">
      <c r="A291" s="33" t="s">
        <v>404</v>
      </c>
      <c r="B291" s="33">
        <v>27</v>
      </c>
      <c r="C291" s="33" t="s">
        <v>42</v>
      </c>
      <c r="D291" s="33">
        <v>0</v>
      </c>
      <c r="E291" s="33" t="s">
        <v>14</v>
      </c>
      <c r="F291" s="33">
        <v>1</v>
      </c>
      <c r="G291" s="33" t="b">
        <v>1</v>
      </c>
      <c r="H291" s="33" t="s">
        <v>83</v>
      </c>
      <c r="I291" s="33">
        <v>91</v>
      </c>
      <c r="J291" s="33" t="str">
        <f t="shared" si="8"/>
        <v>Young Professionals</v>
      </c>
      <c r="K291" s="33" t="str">
        <f t="shared" si="9"/>
        <v>NHC</v>
      </c>
    </row>
    <row r="292" spans="1:11" x14ac:dyDescent="0.25">
      <c r="A292" s="33" t="s">
        <v>122</v>
      </c>
      <c r="B292" s="33">
        <v>31</v>
      </c>
      <c r="C292" s="33" t="s">
        <v>42</v>
      </c>
      <c r="D292" s="33">
        <v>15</v>
      </c>
      <c r="E292" s="33" t="s">
        <v>18</v>
      </c>
      <c r="F292" s="33">
        <v>2</v>
      </c>
      <c r="G292" s="33" t="b">
        <v>0</v>
      </c>
      <c r="H292" s="33" t="s">
        <v>83</v>
      </c>
      <c r="I292" s="33">
        <v>72</v>
      </c>
      <c r="J292" s="33" t="str">
        <f t="shared" si="8"/>
        <v>Mid-to-Late Career</v>
      </c>
      <c r="K292" s="33" t="str">
        <f t="shared" si="9"/>
        <v>NHC</v>
      </c>
    </row>
    <row r="293" spans="1:11" x14ac:dyDescent="0.25">
      <c r="A293" s="33" t="s">
        <v>405</v>
      </c>
      <c r="B293" s="33">
        <v>25</v>
      </c>
      <c r="C293" s="33" t="s">
        <v>42</v>
      </c>
      <c r="D293" s="33">
        <v>4</v>
      </c>
      <c r="E293" s="33" t="s">
        <v>8</v>
      </c>
      <c r="F293" s="33">
        <v>2</v>
      </c>
      <c r="G293" s="33" t="b">
        <v>0</v>
      </c>
      <c r="H293" s="33" t="s">
        <v>83</v>
      </c>
      <c r="I293" s="33">
        <v>94</v>
      </c>
      <c r="J293" s="33" t="str">
        <f t="shared" si="8"/>
        <v>Young Professionals</v>
      </c>
      <c r="K293" s="33" t="str">
        <f t="shared" si="9"/>
        <v>NHC</v>
      </c>
    </row>
    <row r="294" spans="1:11" x14ac:dyDescent="0.25">
      <c r="A294" s="33" t="s">
        <v>121</v>
      </c>
      <c r="B294" s="33">
        <v>32</v>
      </c>
      <c r="C294" s="33" t="s">
        <v>42</v>
      </c>
      <c r="D294" s="33">
        <v>11</v>
      </c>
      <c r="E294" s="33" t="s">
        <v>16</v>
      </c>
      <c r="F294" s="33">
        <v>0</v>
      </c>
      <c r="G294" s="33" t="b">
        <v>0</v>
      </c>
      <c r="H294" s="33" t="s">
        <v>83</v>
      </c>
      <c r="I294" s="33">
        <v>67</v>
      </c>
      <c r="J294" s="33" t="str">
        <f t="shared" si="8"/>
        <v>Mid-to-Late Career</v>
      </c>
      <c r="K294" s="33" t="str">
        <f t="shared" si="9"/>
        <v>NHC</v>
      </c>
    </row>
    <row r="295" spans="1:11" x14ac:dyDescent="0.25">
      <c r="A295" s="33" t="s">
        <v>120</v>
      </c>
      <c r="B295" s="33">
        <v>49</v>
      </c>
      <c r="C295" s="33" t="s">
        <v>42</v>
      </c>
      <c r="D295" s="33">
        <v>11</v>
      </c>
      <c r="E295" s="33" t="s">
        <v>13</v>
      </c>
      <c r="F295" s="33">
        <v>1</v>
      </c>
      <c r="G295" s="33" t="b">
        <v>0</v>
      </c>
      <c r="H295" s="33" t="s">
        <v>83</v>
      </c>
      <c r="I295" s="33">
        <v>69</v>
      </c>
      <c r="J295" s="33" t="str">
        <f t="shared" si="8"/>
        <v>Mid-to-Late Career</v>
      </c>
      <c r="K295" s="33" t="str">
        <f t="shared" si="9"/>
        <v>NHC</v>
      </c>
    </row>
    <row r="296" spans="1:11" x14ac:dyDescent="0.25">
      <c r="A296" s="33" t="s">
        <v>406</v>
      </c>
      <c r="B296" s="33">
        <v>21</v>
      </c>
      <c r="C296" s="33" t="s">
        <v>1</v>
      </c>
      <c r="D296" s="33">
        <v>2</v>
      </c>
      <c r="E296" s="33" t="s">
        <v>11</v>
      </c>
      <c r="F296" s="33">
        <v>4</v>
      </c>
      <c r="G296" s="33" t="b">
        <v>1</v>
      </c>
      <c r="H296" s="33" t="s">
        <v>159</v>
      </c>
      <c r="I296" s="33">
        <v>90</v>
      </c>
      <c r="J296" s="33" t="str">
        <f t="shared" si="8"/>
        <v>Students</v>
      </c>
      <c r="K296" s="33" t="str">
        <f t="shared" si="9"/>
        <v>NHC</v>
      </c>
    </row>
    <row r="297" spans="1:11" x14ac:dyDescent="0.25">
      <c r="A297" s="33" t="s">
        <v>407</v>
      </c>
      <c r="B297" s="33">
        <v>19</v>
      </c>
      <c r="C297" s="33" t="s">
        <v>1</v>
      </c>
      <c r="D297" s="33">
        <v>1</v>
      </c>
      <c r="E297" s="33" t="s">
        <v>14</v>
      </c>
      <c r="F297" s="33">
        <v>5</v>
      </c>
      <c r="G297" s="33" t="b">
        <v>1</v>
      </c>
      <c r="H297" s="33" t="s">
        <v>159</v>
      </c>
      <c r="I297" s="33">
        <v>86</v>
      </c>
      <c r="J297" s="33" t="str">
        <f t="shared" si="8"/>
        <v>Students</v>
      </c>
      <c r="K297" s="33" t="str">
        <f t="shared" si="9"/>
        <v>HC</v>
      </c>
    </row>
    <row r="298" spans="1:11" x14ac:dyDescent="0.25">
      <c r="A298" s="33" t="s">
        <v>408</v>
      </c>
      <c r="B298" s="33">
        <v>25</v>
      </c>
      <c r="C298" s="33" t="s">
        <v>42</v>
      </c>
      <c r="D298" s="33">
        <v>3</v>
      </c>
      <c r="E298" s="33" t="s">
        <v>23</v>
      </c>
      <c r="F298" s="33">
        <v>1</v>
      </c>
      <c r="G298" s="33" t="b">
        <v>0</v>
      </c>
      <c r="H298" s="33" t="s">
        <v>83</v>
      </c>
      <c r="I298" s="33">
        <v>91</v>
      </c>
      <c r="J298" s="33" t="str">
        <f t="shared" si="8"/>
        <v>Young Professionals</v>
      </c>
      <c r="K298" s="33" t="str">
        <f t="shared" si="9"/>
        <v>NHC</v>
      </c>
    </row>
    <row r="299" spans="1:11" x14ac:dyDescent="0.25">
      <c r="A299" s="33" t="s">
        <v>409</v>
      </c>
      <c r="B299" s="33">
        <v>64</v>
      </c>
      <c r="C299" s="33" t="s">
        <v>43</v>
      </c>
      <c r="D299" s="33">
        <v>3</v>
      </c>
      <c r="E299" s="33" t="s">
        <v>10</v>
      </c>
      <c r="F299" s="33">
        <v>3</v>
      </c>
      <c r="G299" s="33" t="b">
        <v>0</v>
      </c>
      <c r="H299" s="33" t="s">
        <v>165</v>
      </c>
      <c r="I299" s="33">
        <v>98</v>
      </c>
      <c r="J299" s="33" t="str">
        <f t="shared" si="8"/>
        <v>Homemakers</v>
      </c>
      <c r="K299" s="33" t="str">
        <f t="shared" si="9"/>
        <v>NHC</v>
      </c>
    </row>
    <row r="300" spans="1:11" x14ac:dyDescent="0.25">
      <c r="A300" s="33" t="s">
        <v>410</v>
      </c>
      <c r="B300" s="33">
        <v>47</v>
      </c>
      <c r="C300" s="33" t="s">
        <v>43</v>
      </c>
      <c r="D300" s="33">
        <v>28</v>
      </c>
      <c r="E300" s="33" t="s">
        <v>8</v>
      </c>
      <c r="F300" s="33">
        <v>3</v>
      </c>
      <c r="G300" s="33" t="b">
        <v>0</v>
      </c>
      <c r="H300" s="33" t="s">
        <v>165</v>
      </c>
      <c r="I300" s="33">
        <v>94</v>
      </c>
      <c r="J300" s="33" t="str">
        <f t="shared" si="8"/>
        <v>Homemakers</v>
      </c>
      <c r="K300" s="33" t="str">
        <f t="shared" si="9"/>
        <v>NHC</v>
      </c>
    </row>
    <row r="301" spans="1:11" x14ac:dyDescent="0.25">
      <c r="A301" s="33" t="s">
        <v>411</v>
      </c>
      <c r="B301" s="33">
        <v>50</v>
      </c>
      <c r="C301" s="33" t="s">
        <v>43</v>
      </c>
      <c r="D301" s="33">
        <v>12</v>
      </c>
      <c r="E301" s="33" t="s">
        <v>8</v>
      </c>
      <c r="F301" s="33">
        <v>3</v>
      </c>
      <c r="G301" s="33" t="b">
        <v>0</v>
      </c>
      <c r="H301" s="33" t="s">
        <v>165</v>
      </c>
      <c r="I301" s="33">
        <v>94</v>
      </c>
      <c r="J301" s="33" t="str">
        <f t="shared" si="8"/>
        <v>Homemakers</v>
      </c>
      <c r="K301" s="33" t="str">
        <f t="shared" si="9"/>
        <v>NHC</v>
      </c>
    </row>
    <row r="302" spans="1:11" x14ac:dyDescent="0.25">
      <c r="A302" s="33" t="s">
        <v>412</v>
      </c>
      <c r="B302" s="33">
        <v>66</v>
      </c>
      <c r="C302" s="33" t="s">
        <v>44</v>
      </c>
      <c r="D302" s="33">
        <v>39</v>
      </c>
      <c r="E302" s="33" t="s">
        <v>14</v>
      </c>
      <c r="F302" s="33">
        <v>5</v>
      </c>
      <c r="G302" s="33" t="b">
        <v>0</v>
      </c>
      <c r="H302" s="33" t="s">
        <v>165</v>
      </c>
      <c r="I302" s="33">
        <v>90</v>
      </c>
      <c r="J302" s="33" t="str">
        <f t="shared" si="8"/>
        <v>Retirees</v>
      </c>
      <c r="K302" s="33" t="str">
        <f t="shared" si="9"/>
        <v>NHC</v>
      </c>
    </row>
    <row r="303" spans="1:11" x14ac:dyDescent="0.25">
      <c r="A303" s="33" t="s">
        <v>413</v>
      </c>
      <c r="B303" s="33">
        <v>29</v>
      </c>
      <c r="C303" s="33" t="s">
        <v>42</v>
      </c>
      <c r="D303" s="33">
        <v>4</v>
      </c>
      <c r="E303" s="33" t="s">
        <v>23</v>
      </c>
      <c r="F303" s="33">
        <v>1</v>
      </c>
      <c r="G303" s="33" t="b">
        <v>0</v>
      </c>
      <c r="H303" s="33" t="s">
        <v>83</v>
      </c>
      <c r="I303" s="33">
        <v>95</v>
      </c>
      <c r="J303" s="33" t="str">
        <f t="shared" si="8"/>
        <v>Young Professionals</v>
      </c>
      <c r="K303" s="33" t="str">
        <f t="shared" si="9"/>
        <v>NHC</v>
      </c>
    </row>
    <row r="304" spans="1:11" x14ac:dyDescent="0.25">
      <c r="A304" s="33" t="s">
        <v>414</v>
      </c>
      <c r="B304" s="33">
        <v>27</v>
      </c>
      <c r="C304" s="33" t="s">
        <v>42</v>
      </c>
      <c r="D304" s="33">
        <v>4</v>
      </c>
      <c r="E304" s="33" t="s">
        <v>10</v>
      </c>
      <c r="F304" s="33">
        <v>1</v>
      </c>
      <c r="G304" s="33" t="b">
        <v>0</v>
      </c>
      <c r="H304" s="33" t="s">
        <v>83</v>
      </c>
      <c r="I304" s="33">
        <v>91</v>
      </c>
      <c r="J304" s="33" t="str">
        <f t="shared" si="8"/>
        <v>Young Professionals</v>
      </c>
      <c r="K304" s="33" t="str">
        <f t="shared" si="9"/>
        <v>NHC</v>
      </c>
    </row>
    <row r="305" spans="1:11" x14ac:dyDescent="0.25">
      <c r="A305" s="33" t="s">
        <v>415</v>
      </c>
      <c r="B305" s="33">
        <v>19</v>
      </c>
      <c r="C305" s="33" t="s">
        <v>1</v>
      </c>
      <c r="D305" s="33">
        <v>1</v>
      </c>
      <c r="E305" s="33" t="s">
        <v>23</v>
      </c>
      <c r="F305" s="33">
        <v>3</v>
      </c>
      <c r="G305" s="33" t="b">
        <v>0</v>
      </c>
      <c r="H305" s="33" t="s">
        <v>159</v>
      </c>
      <c r="I305" s="33">
        <v>82</v>
      </c>
      <c r="J305" s="33" t="str">
        <f t="shared" si="8"/>
        <v>Students</v>
      </c>
      <c r="K305" s="33" t="str">
        <f t="shared" si="9"/>
        <v>NHC</v>
      </c>
    </row>
    <row r="306" spans="1:11" x14ac:dyDescent="0.25">
      <c r="A306" s="33" t="s">
        <v>416</v>
      </c>
      <c r="B306" s="33">
        <v>21</v>
      </c>
      <c r="C306" s="33" t="s">
        <v>1</v>
      </c>
      <c r="D306" s="33">
        <v>2</v>
      </c>
      <c r="E306" s="33" t="s">
        <v>11</v>
      </c>
      <c r="F306" s="33">
        <v>5</v>
      </c>
      <c r="G306" s="33" t="b">
        <v>1</v>
      </c>
      <c r="H306" s="33" t="s">
        <v>159</v>
      </c>
      <c r="I306" s="33">
        <v>90</v>
      </c>
      <c r="J306" s="33" t="str">
        <f t="shared" si="8"/>
        <v>Students</v>
      </c>
      <c r="K306" s="33" t="str">
        <f t="shared" si="9"/>
        <v>NHC</v>
      </c>
    </row>
    <row r="307" spans="1:11" x14ac:dyDescent="0.25">
      <c r="A307" s="33" t="s">
        <v>417</v>
      </c>
      <c r="B307" s="33">
        <v>18</v>
      </c>
      <c r="C307" s="33" t="s">
        <v>1</v>
      </c>
      <c r="D307" s="33">
        <v>2</v>
      </c>
      <c r="E307" s="33" t="s">
        <v>18</v>
      </c>
      <c r="F307" s="33">
        <v>3</v>
      </c>
      <c r="G307" s="33" t="b">
        <v>0</v>
      </c>
      <c r="H307" s="33" t="s">
        <v>159</v>
      </c>
      <c r="I307" s="33">
        <v>83</v>
      </c>
      <c r="J307" s="33" t="str">
        <f t="shared" si="8"/>
        <v>Students</v>
      </c>
      <c r="K307" s="33" t="str">
        <f t="shared" si="9"/>
        <v>HC</v>
      </c>
    </row>
    <row r="308" spans="1:11" x14ac:dyDescent="0.25">
      <c r="A308" s="33" t="s">
        <v>418</v>
      </c>
      <c r="B308" s="33">
        <v>26</v>
      </c>
      <c r="C308" s="33" t="s">
        <v>42</v>
      </c>
      <c r="D308" s="33">
        <v>4</v>
      </c>
      <c r="E308" s="33" t="s">
        <v>18</v>
      </c>
      <c r="F308" s="33">
        <v>1</v>
      </c>
      <c r="G308" s="33" t="b">
        <v>1</v>
      </c>
      <c r="H308" s="33" t="s">
        <v>83</v>
      </c>
      <c r="I308" s="33">
        <v>90</v>
      </c>
      <c r="J308" s="33" t="str">
        <f t="shared" si="8"/>
        <v>Young Professionals</v>
      </c>
      <c r="K308" s="33" t="str">
        <f t="shared" si="9"/>
        <v>NHC</v>
      </c>
    </row>
    <row r="309" spans="1:11" x14ac:dyDescent="0.25">
      <c r="A309" s="33" t="s">
        <v>419</v>
      </c>
      <c r="B309" s="33">
        <v>26</v>
      </c>
      <c r="C309" s="33" t="s">
        <v>42</v>
      </c>
      <c r="D309" s="33">
        <v>5</v>
      </c>
      <c r="E309" s="33" t="s">
        <v>8</v>
      </c>
      <c r="F309" s="33">
        <v>1</v>
      </c>
      <c r="G309" s="33" t="b">
        <v>1</v>
      </c>
      <c r="H309" s="33" t="s">
        <v>83</v>
      </c>
      <c r="I309" s="33">
        <v>94</v>
      </c>
      <c r="J309" s="33" t="str">
        <f t="shared" si="8"/>
        <v>Young Professionals</v>
      </c>
      <c r="K309" s="33" t="str">
        <f t="shared" si="9"/>
        <v>NHC</v>
      </c>
    </row>
    <row r="310" spans="1:11" x14ac:dyDescent="0.25">
      <c r="A310" s="33" t="s">
        <v>420</v>
      </c>
      <c r="B310" s="33">
        <v>21</v>
      </c>
      <c r="C310" s="33" t="s">
        <v>1</v>
      </c>
      <c r="D310" s="33">
        <v>0</v>
      </c>
      <c r="E310" s="33" t="s">
        <v>11</v>
      </c>
      <c r="F310" s="33">
        <v>5</v>
      </c>
      <c r="G310" s="33" t="b">
        <v>1</v>
      </c>
      <c r="H310" s="33" t="s">
        <v>159</v>
      </c>
      <c r="I310" s="33">
        <v>90</v>
      </c>
      <c r="J310" s="33" t="str">
        <f t="shared" si="8"/>
        <v>Students</v>
      </c>
      <c r="K310" s="33" t="str">
        <f t="shared" si="9"/>
        <v>NHC</v>
      </c>
    </row>
    <row r="311" spans="1:11" x14ac:dyDescent="0.25">
      <c r="A311" s="33" t="s">
        <v>421</v>
      </c>
      <c r="B311" s="33">
        <v>19</v>
      </c>
      <c r="C311" s="33" t="s">
        <v>1</v>
      </c>
      <c r="D311" s="33">
        <v>1</v>
      </c>
      <c r="E311" s="33" t="s">
        <v>11</v>
      </c>
      <c r="F311" s="33">
        <v>5</v>
      </c>
      <c r="G311" s="33" t="b">
        <v>1</v>
      </c>
      <c r="H311" s="33" t="s">
        <v>159</v>
      </c>
      <c r="I311" s="33">
        <v>91</v>
      </c>
      <c r="J311" s="33" t="str">
        <f t="shared" si="8"/>
        <v>Students</v>
      </c>
      <c r="K311" s="33" t="str">
        <f t="shared" si="9"/>
        <v>HC</v>
      </c>
    </row>
    <row r="312" spans="1:11" x14ac:dyDescent="0.25">
      <c r="A312" s="33" t="s">
        <v>119</v>
      </c>
      <c r="B312" s="33">
        <v>53</v>
      </c>
      <c r="C312" s="33" t="s">
        <v>42</v>
      </c>
      <c r="D312" s="33">
        <v>14</v>
      </c>
      <c r="E312" s="33" t="s">
        <v>22</v>
      </c>
      <c r="F312" s="33">
        <v>2</v>
      </c>
      <c r="G312" s="33" t="b">
        <v>0</v>
      </c>
      <c r="H312" s="33" t="s">
        <v>83</v>
      </c>
      <c r="I312" s="33">
        <v>68</v>
      </c>
      <c r="J312" s="33" t="str">
        <f t="shared" si="8"/>
        <v>Mid-to-Late Career</v>
      </c>
      <c r="K312" s="33" t="str">
        <f t="shared" si="9"/>
        <v>HC</v>
      </c>
    </row>
    <row r="313" spans="1:11" x14ac:dyDescent="0.25">
      <c r="A313" s="33" t="s">
        <v>422</v>
      </c>
      <c r="B313" s="33">
        <v>27</v>
      </c>
      <c r="C313" s="33" t="s">
        <v>42</v>
      </c>
      <c r="D313" s="33">
        <v>2</v>
      </c>
      <c r="E313" s="33" t="s">
        <v>11</v>
      </c>
      <c r="F313" s="33">
        <v>4</v>
      </c>
      <c r="G313" s="33" t="b">
        <v>0</v>
      </c>
      <c r="H313" s="33" t="s">
        <v>83</v>
      </c>
      <c r="I313" s="33">
        <v>92</v>
      </c>
      <c r="J313" s="33" t="str">
        <f t="shared" si="8"/>
        <v>Young Professionals</v>
      </c>
      <c r="K313" s="33" t="str">
        <f t="shared" si="9"/>
        <v>NHC</v>
      </c>
    </row>
    <row r="314" spans="1:11" x14ac:dyDescent="0.25">
      <c r="A314" s="33" t="s">
        <v>423</v>
      </c>
      <c r="B314" s="33">
        <v>73</v>
      </c>
      <c r="C314" s="33" t="s">
        <v>44</v>
      </c>
      <c r="D314" s="33">
        <v>33</v>
      </c>
      <c r="E314" s="33" t="s">
        <v>11</v>
      </c>
      <c r="F314" s="33">
        <v>7</v>
      </c>
      <c r="G314" s="33" t="b">
        <v>0</v>
      </c>
      <c r="H314" s="33" t="s">
        <v>165</v>
      </c>
      <c r="I314" s="33">
        <v>91</v>
      </c>
      <c r="J314" s="33" t="str">
        <f t="shared" si="8"/>
        <v>Retirees</v>
      </c>
      <c r="K314" s="33" t="str">
        <f t="shared" si="9"/>
        <v>HC</v>
      </c>
    </row>
    <row r="315" spans="1:11" x14ac:dyDescent="0.25">
      <c r="A315" s="33" t="s">
        <v>117</v>
      </c>
      <c r="B315" s="33">
        <v>35</v>
      </c>
      <c r="C315" s="33" t="s">
        <v>42</v>
      </c>
      <c r="D315" s="33">
        <v>18</v>
      </c>
      <c r="E315" s="33" t="s">
        <v>16</v>
      </c>
      <c r="F315" s="33">
        <v>2</v>
      </c>
      <c r="G315" s="33" t="b">
        <v>0</v>
      </c>
      <c r="H315" s="33" t="s">
        <v>83</v>
      </c>
      <c r="I315" s="33">
        <v>72</v>
      </c>
      <c r="J315" s="33" t="str">
        <f t="shared" si="8"/>
        <v>Mid-to-Late Career</v>
      </c>
      <c r="K315" s="33" t="str">
        <f t="shared" si="9"/>
        <v>HC</v>
      </c>
    </row>
    <row r="316" spans="1:11" x14ac:dyDescent="0.25">
      <c r="A316" s="33" t="s">
        <v>424</v>
      </c>
      <c r="B316" s="33">
        <v>19</v>
      </c>
      <c r="C316" s="33" t="s">
        <v>1</v>
      </c>
      <c r="D316" s="33">
        <v>0</v>
      </c>
      <c r="E316" s="33" t="s">
        <v>11</v>
      </c>
      <c r="F316" s="33">
        <v>3</v>
      </c>
      <c r="G316" s="33" t="b">
        <v>1</v>
      </c>
      <c r="H316" s="33" t="s">
        <v>159</v>
      </c>
      <c r="I316" s="33">
        <v>93</v>
      </c>
      <c r="J316" s="33" t="str">
        <f t="shared" si="8"/>
        <v>Students</v>
      </c>
      <c r="K316" s="33" t="str">
        <f t="shared" si="9"/>
        <v>NHC</v>
      </c>
    </row>
    <row r="317" spans="1:11" x14ac:dyDescent="0.25">
      <c r="A317" s="33" t="s">
        <v>425</v>
      </c>
      <c r="B317" s="33">
        <v>28</v>
      </c>
      <c r="C317" s="33" t="s">
        <v>42</v>
      </c>
      <c r="D317" s="33">
        <v>2</v>
      </c>
      <c r="E317" s="33" t="s">
        <v>8</v>
      </c>
      <c r="F317" s="33">
        <v>1</v>
      </c>
      <c r="G317" s="33" t="b">
        <v>0</v>
      </c>
      <c r="H317" s="33" t="s">
        <v>83</v>
      </c>
      <c r="I317" s="33">
        <v>93</v>
      </c>
      <c r="J317" s="33" t="str">
        <f t="shared" si="8"/>
        <v>Young Professionals</v>
      </c>
      <c r="K317" s="33" t="str">
        <f t="shared" si="9"/>
        <v>HC</v>
      </c>
    </row>
    <row r="318" spans="1:11" x14ac:dyDescent="0.25">
      <c r="A318" s="33" t="s">
        <v>426</v>
      </c>
      <c r="B318" s="33">
        <v>72</v>
      </c>
      <c r="C318" s="33" t="s">
        <v>44</v>
      </c>
      <c r="D318" s="33">
        <v>34</v>
      </c>
      <c r="E318" s="33" t="s">
        <v>22</v>
      </c>
      <c r="F318" s="33">
        <v>5</v>
      </c>
      <c r="G318" s="33" t="b">
        <v>1</v>
      </c>
      <c r="H318" s="33" t="s">
        <v>165</v>
      </c>
      <c r="I318" s="33">
        <v>89</v>
      </c>
      <c r="J318" s="33" t="str">
        <f t="shared" si="8"/>
        <v>Retirees</v>
      </c>
      <c r="K318" s="33" t="str">
        <f t="shared" si="9"/>
        <v>NHC</v>
      </c>
    </row>
    <row r="319" spans="1:11" x14ac:dyDescent="0.25">
      <c r="A319" s="33" t="s">
        <v>427</v>
      </c>
      <c r="B319" s="33">
        <v>21</v>
      </c>
      <c r="C319" s="33" t="s">
        <v>1</v>
      </c>
      <c r="D319" s="33">
        <v>1</v>
      </c>
      <c r="E319" s="33" t="s">
        <v>11</v>
      </c>
      <c r="F319" s="33">
        <v>5</v>
      </c>
      <c r="G319" s="33" t="b">
        <v>1</v>
      </c>
      <c r="H319" s="33" t="s">
        <v>159</v>
      </c>
      <c r="I319" s="33">
        <v>90</v>
      </c>
      <c r="J319" s="33" t="str">
        <f t="shared" si="8"/>
        <v>Students</v>
      </c>
      <c r="K319" s="33" t="str">
        <f t="shared" si="9"/>
        <v>NHC</v>
      </c>
    </row>
    <row r="320" spans="1:11" x14ac:dyDescent="0.25">
      <c r="A320" s="33" t="s">
        <v>116</v>
      </c>
      <c r="B320" s="33">
        <v>55</v>
      </c>
      <c r="C320" s="33" t="s">
        <v>42</v>
      </c>
      <c r="D320" s="33">
        <v>13</v>
      </c>
      <c r="E320" s="33" t="s">
        <v>14</v>
      </c>
      <c r="F320" s="33">
        <v>0</v>
      </c>
      <c r="G320" s="33" t="b">
        <v>0</v>
      </c>
      <c r="H320" s="33" t="s">
        <v>83</v>
      </c>
      <c r="I320" s="33">
        <v>67</v>
      </c>
      <c r="J320" s="33" t="str">
        <f t="shared" si="8"/>
        <v>Mid-to-Late Career</v>
      </c>
      <c r="K320" s="33" t="str">
        <f t="shared" si="9"/>
        <v>HC</v>
      </c>
    </row>
    <row r="321" spans="1:11" x14ac:dyDescent="0.25">
      <c r="A321" s="33" t="s">
        <v>115</v>
      </c>
      <c r="B321" s="33">
        <v>54</v>
      </c>
      <c r="C321" s="33" t="s">
        <v>42</v>
      </c>
      <c r="D321" s="33">
        <v>10</v>
      </c>
      <c r="E321" s="33" t="s">
        <v>11</v>
      </c>
      <c r="F321" s="33">
        <v>2</v>
      </c>
      <c r="G321" s="33" t="b">
        <v>0</v>
      </c>
      <c r="H321" s="33" t="s">
        <v>83</v>
      </c>
      <c r="I321" s="33">
        <v>84</v>
      </c>
      <c r="J321" s="33" t="str">
        <f t="shared" si="8"/>
        <v>Mid-to-Late Career</v>
      </c>
      <c r="K321" s="33" t="str">
        <f t="shared" si="9"/>
        <v>NHC</v>
      </c>
    </row>
    <row r="322" spans="1:11" x14ac:dyDescent="0.25">
      <c r="A322" s="33" t="s">
        <v>428</v>
      </c>
      <c r="B322" s="33">
        <v>18</v>
      </c>
      <c r="C322" s="33" t="s">
        <v>1</v>
      </c>
      <c r="D322" s="33">
        <v>0</v>
      </c>
      <c r="E322" s="33" t="s">
        <v>11</v>
      </c>
      <c r="F322" s="33">
        <v>4</v>
      </c>
      <c r="G322" s="33" t="b">
        <v>1</v>
      </c>
      <c r="H322" s="33" t="s">
        <v>159</v>
      </c>
      <c r="I322" s="33">
        <v>87</v>
      </c>
      <c r="J322" s="33" t="str">
        <f t="shared" ref="J322:J385" si="10">IF(C322="Student", "Students", IF(AND(C322="Employed", B322&gt;=22, B322&lt;=30), "Young Professionals", IF(AND(C322="Employed", B322&gt;=31, B322&lt;=55), "Mid-to-Late Career", IF(C322="Retired", "Retirees", "Homemakers"))))</f>
        <v>Students</v>
      </c>
      <c r="K322" s="33" t="str">
        <f t="shared" ref="K322:K385" si="11">IF(E321="Healthcare &amp; Life Sciences", "HC", "NHC")</f>
        <v>HC</v>
      </c>
    </row>
    <row r="323" spans="1:11" x14ac:dyDescent="0.25">
      <c r="A323" s="33" t="s">
        <v>429</v>
      </c>
      <c r="B323" s="33">
        <v>57</v>
      </c>
      <c r="C323" s="33" t="s">
        <v>43</v>
      </c>
      <c r="D323" s="33">
        <v>3</v>
      </c>
      <c r="E323" s="33" t="s">
        <v>20</v>
      </c>
      <c r="F323" s="33">
        <v>5</v>
      </c>
      <c r="G323" s="33" t="b">
        <v>0</v>
      </c>
      <c r="H323" s="33" t="s">
        <v>165</v>
      </c>
      <c r="I323" s="33">
        <v>96</v>
      </c>
      <c r="J323" s="33" t="str">
        <f t="shared" si="10"/>
        <v>Homemakers</v>
      </c>
      <c r="K323" s="33" t="str">
        <f t="shared" si="11"/>
        <v>HC</v>
      </c>
    </row>
    <row r="324" spans="1:11" x14ac:dyDescent="0.25">
      <c r="A324" s="33" t="s">
        <v>430</v>
      </c>
      <c r="B324" s="33">
        <v>20</v>
      </c>
      <c r="C324" s="33" t="s">
        <v>1</v>
      </c>
      <c r="D324" s="33">
        <v>2</v>
      </c>
      <c r="E324" s="33" t="s">
        <v>11</v>
      </c>
      <c r="F324" s="33">
        <v>5</v>
      </c>
      <c r="G324" s="33" t="b">
        <v>1</v>
      </c>
      <c r="H324" s="33" t="s">
        <v>159</v>
      </c>
      <c r="I324" s="33">
        <v>89</v>
      </c>
      <c r="J324" s="33" t="str">
        <f t="shared" si="10"/>
        <v>Students</v>
      </c>
      <c r="K324" s="33" t="str">
        <f t="shared" si="11"/>
        <v>NHC</v>
      </c>
    </row>
    <row r="325" spans="1:11" x14ac:dyDescent="0.25">
      <c r="A325" s="33" t="s">
        <v>431</v>
      </c>
      <c r="B325" s="33">
        <v>18</v>
      </c>
      <c r="C325" s="33" t="s">
        <v>43</v>
      </c>
      <c r="D325" s="33">
        <v>0</v>
      </c>
      <c r="E325" s="33" t="s">
        <v>10</v>
      </c>
      <c r="F325" s="33">
        <v>5</v>
      </c>
      <c r="G325" s="33" t="b">
        <v>0</v>
      </c>
      <c r="H325" s="33" t="s">
        <v>165</v>
      </c>
      <c r="I325" s="33">
        <v>95</v>
      </c>
      <c r="J325" s="33" t="str">
        <f t="shared" si="10"/>
        <v>Homemakers</v>
      </c>
      <c r="K325" s="33" t="str">
        <f t="shared" si="11"/>
        <v>HC</v>
      </c>
    </row>
    <row r="326" spans="1:11" x14ac:dyDescent="0.25">
      <c r="A326" s="33" t="s">
        <v>432</v>
      </c>
      <c r="B326" s="33">
        <v>21</v>
      </c>
      <c r="C326" s="33" t="s">
        <v>1</v>
      </c>
      <c r="D326" s="33">
        <v>0</v>
      </c>
      <c r="E326" s="33" t="s">
        <v>11</v>
      </c>
      <c r="F326" s="33">
        <v>4</v>
      </c>
      <c r="G326" s="33" t="b">
        <v>1</v>
      </c>
      <c r="H326" s="33" t="s">
        <v>159</v>
      </c>
      <c r="I326" s="33">
        <v>91</v>
      </c>
      <c r="J326" s="33" t="str">
        <f t="shared" si="10"/>
        <v>Students</v>
      </c>
      <c r="K326" s="33" t="str">
        <f t="shared" si="11"/>
        <v>NHC</v>
      </c>
    </row>
    <row r="327" spans="1:11" x14ac:dyDescent="0.25">
      <c r="A327" s="33" t="s">
        <v>433</v>
      </c>
      <c r="B327" s="33">
        <v>28</v>
      </c>
      <c r="C327" s="33" t="s">
        <v>42</v>
      </c>
      <c r="D327" s="33">
        <v>5</v>
      </c>
      <c r="E327" s="33" t="s">
        <v>22</v>
      </c>
      <c r="F327" s="33">
        <v>1</v>
      </c>
      <c r="G327" s="33" t="b">
        <v>0</v>
      </c>
      <c r="H327" s="33" t="s">
        <v>83</v>
      </c>
      <c r="I327" s="33">
        <v>94</v>
      </c>
      <c r="J327" s="33" t="str">
        <f t="shared" si="10"/>
        <v>Young Professionals</v>
      </c>
      <c r="K327" s="33" t="str">
        <f t="shared" si="11"/>
        <v>HC</v>
      </c>
    </row>
    <row r="328" spans="1:11" x14ac:dyDescent="0.25">
      <c r="A328" s="33" t="s">
        <v>434</v>
      </c>
      <c r="B328" s="33">
        <v>20</v>
      </c>
      <c r="C328" s="33" t="s">
        <v>1</v>
      </c>
      <c r="D328" s="33">
        <v>0</v>
      </c>
      <c r="E328" s="33" t="s">
        <v>11</v>
      </c>
      <c r="F328" s="33">
        <v>3</v>
      </c>
      <c r="G328" s="33" t="b">
        <v>1</v>
      </c>
      <c r="H328" s="33" t="s">
        <v>159</v>
      </c>
      <c r="I328" s="33">
        <v>89</v>
      </c>
      <c r="J328" s="33" t="str">
        <f t="shared" si="10"/>
        <v>Students</v>
      </c>
      <c r="K328" s="33" t="str">
        <f t="shared" si="11"/>
        <v>NHC</v>
      </c>
    </row>
    <row r="329" spans="1:11" x14ac:dyDescent="0.25">
      <c r="A329" s="33" t="s">
        <v>435</v>
      </c>
      <c r="B329" s="33">
        <v>26</v>
      </c>
      <c r="C329" s="33" t="s">
        <v>42</v>
      </c>
      <c r="D329" s="33">
        <v>1</v>
      </c>
      <c r="E329" s="33" t="s">
        <v>8</v>
      </c>
      <c r="F329" s="33">
        <v>2</v>
      </c>
      <c r="G329" s="33" t="b">
        <v>0</v>
      </c>
      <c r="H329" s="33" t="s">
        <v>83</v>
      </c>
      <c r="I329" s="33">
        <v>90</v>
      </c>
      <c r="J329" s="33" t="str">
        <f t="shared" si="10"/>
        <v>Young Professionals</v>
      </c>
      <c r="K329" s="33" t="str">
        <f t="shared" si="11"/>
        <v>HC</v>
      </c>
    </row>
    <row r="330" spans="1:11" x14ac:dyDescent="0.25">
      <c r="A330" s="33" t="s">
        <v>436</v>
      </c>
      <c r="B330" s="33">
        <v>21</v>
      </c>
      <c r="C330" s="33" t="s">
        <v>1</v>
      </c>
      <c r="D330" s="33">
        <v>2</v>
      </c>
      <c r="E330" s="33" t="s">
        <v>13</v>
      </c>
      <c r="F330" s="33">
        <v>5</v>
      </c>
      <c r="G330" s="33" t="b">
        <v>0</v>
      </c>
      <c r="H330" s="33" t="s">
        <v>159</v>
      </c>
      <c r="I330" s="33">
        <v>88</v>
      </c>
      <c r="J330" s="33" t="str">
        <f t="shared" si="10"/>
        <v>Students</v>
      </c>
      <c r="K330" s="33" t="str">
        <f t="shared" si="11"/>
        <v>NHC</v>
      </c>
    </row>
    <row r="331" spans="1:11" x14ac:dyDescent="0.25">
      <c r="A331" s="33" t="s">
        <v>113</v>
      </c>
      <c r="B331" s="33">
        <v>34</v>
      </c>
      <c r="C331" s="33" t="s">
        <v>42</v>
      </c>
      <c r="D331" s="33">
        <v>7</v>
      </c>
      <c r="E331" s="33" t="s">
        <v>16</v>
      </c>
      <c r="F331" s="33">
        <v>1</v>
      </c>
      <c r="G331" s="33" t="b">
        <v>0</v>
      </c>
      <c r="H331" s="33" t="s">
        <v>83</v>
      </c>
      <c r="I331" s="33">
        <v>70</v>
      </c>
      <c r="J331" s="33" t="str">
        <f t="shared" si="10"/>
        <v>Mid-to-Late Career</v>
      </c>
      <c r="K331" s="33" t="str">
        <f t="shared" si="11"/>
        <v>NHC</v>
      </c>
    </row>
    <row r="332" spans="1:11" x14ac:dyDescent="0.25">
      <c r="A332" s="33" t="s">
        <v>437</v>
      </c>
      <c r="B332" s="33">
        <v>19</v>
      </c>
      <c r="C332" s="33" t="s">
        <v>1</v>
      </c>
      <c r="D332" s="33">
        <v>0</v>
      </c>
      <c r="E332" s="33" t="s">
        <v>18</v>
      </c>
      <c r="F332" s="33">
        <v>4</v>
      </c>
      <c r="G332" s="33" t="b">
        <v>0</v>
      </c>
      <c r="H332" s="33" t="s">
        <v>159</v>
      </c>
      <c r="I332" s="33">
        <v>84</v>
      </c>
      <c r="J332" s="33" t="str">
        <f t="shared" si="10"/>
        <v>Students</v>
      </c>
      <c r="K332" s="33" t="str">
        <f t="shared" si="11"/>
        <v>NHC</v>
      </c>
    </row>
    <row r="333" spans="1:11" x14ac:dyDescent="0.25">
      <c r="A333" s="33" t="s">
        <v>438</v>
      </c>
      <c r="B333" s="33">
        <v>20</v>
      </c>
      <c r="C333" s="33" t="s">
        <v>1</v>
      </c>
      <c r="D333" s="33">
        <v>0</v>
      </c>
      <c r="E333" s="33" t="s">
        <v>11</v>
      </c>
      <c r="F333" s="33">
        <v>3</v>
      </c>
      <c r="G333" s="33" t="b">
        <v>1</v>
      </c>
      <c r="H333" s="33" t="s">
        <v>159</v>
      </c>
      <c r="I333" s="33">
        <v>91</v>
      </c>
      <c r="J333" s="33" t="str">
        <f t="shared" si="10"/>
        <v>Students</v>
      </c>
      <c r="K333" s="33" t="str">
        <f t="shared" si="11"/>
        <v>NHC</v>
      </c>
    </row>
    <row r="334" spans="1:11" x14ac:dyDescent="0.25">
      <c r="A334" s="33" t="s">
        <v>439</v>
      </c>
      <c r="B334" s="33">
        <v>18</v>
      </c>
      <c r="C334" s="33" t="s">
        <v>1</v>
      </c>
      <c r="D334" s="33">
        <v>0</v>
      </c>
      <c r="E334" s="33" t="s">
        <v>11</v>
      </c>
      <c r="F334" s="33">
        <v>4</v>
      </c>
      <c r="G334" s="33" t="b">
        <v>1</v>
      </c>
      <c r="H334" s="33" t="s">
        <v>159</v>
      </c>
      <c r="I334" s="33">
        <v>93</v>
      </c>
      <c r="J334" s="33" t="str">
        <f t="shared" si="10"/>
        <v>Students</v>
      </c>
      <c r="K334" s="33" t="str">
        <f t="shared" si="11"/>
        <v>HC</v>
      </c>
    </row>
    <row r="335" spans="1:11" x14ac:dyDescent="0.25">
      <c r="A335" s="33" t="s">
        <v>440</v>
      </c>
      <c r="B335" s="33">
        <v>20</v>
      </c>
      <c r="C335" s="33" t="s">
        <v>1</v>
      </c>
      <c r="D335" s="33">
        <v>0</v>
      </c>
      <c r="E335" s="33" t="s">
        <v>11</v>
      </c>
      <c r="F335" s="33">
        <v>5</v>
      </c>
      <c r="G335" s="33" t="b">
        <v>1</v>
      </c>
      <c r="H335" s="33" t="s">
        <v>159</v>
      </c>
      <c r="I335" s="33">
        <v>87</v>
      </c>
      <c r="J335" s="33" t="str">
        <f t="shared" si="10"/>
        <v>Students</v>
      </c>
      <c r="K335" s="33" t="str">
        <f t="shared" si="11"/>
        <v>HC</v>
      </c>
    </row>
    <row r="336" spans="1:11" x14ac:dyDescent="0.25">
      <c r="A336" s="33" t="s">
        <v>441</v>
      </c>
      <c r="B336" s="33">
        <v>19</v>
      </c>
      <c r="C336" s="33" t="s">
        <v>1</v>
      </c>
      <c r="D336" s="33">
        <v>1</v>
      </c>
      <c r="E336" s="33" t="s">
        <v>22</v>
      </c>
      <c r="F336" s="33">
        <v>3</v>
      </c>
      <c r="G336" s="33" t="b">
        <v>0</v>
      </c>
      <c r="H336" s="33" t="s">
        <v>159</v>
      </c>
      <c r="I336" s="33">
        <v>84</v>
      </c>
      <c r="J336" s="33" t="str">
        <f t="shared" si="10"/>
        <v>Students</v>
      </c>
      <c r="K336" s="33" t="str">
        <f t="shared" si="11"/>
        <v>HC</v>
      </c>
    </row>
    <row r="337" spans="1:11" x14ac:dyDescent="0.25">
      <c r="A337" s="33" t="s">
        <v>442</v>
      </c>
      <c r="B337" s="33">
        <v>20</v>
      </c>
      <c r="C337" s="33" t="s">
        <v>1</v>
      </c>
      <c r="D337" s="33">
        <v>2</v>
      </c>
      <c r="E337" s="33" t="s">
        <v>11</v>
      </c>
      <c r="F337" s="33">
        <v>4</v>
      </c>
      <c r="G337" s="33" t="b">
        <v>1</v>
      </c>
      <c r="H337" s="33" t="s">
        <v>159</v>
      </c>
      <c r="I337" s="33">
        <v>90</v>
      </c>
      <c r="J337" s="33" t="str">
        <f t="shared" si="10"/>
        <v>Students</v>
      </c>
      <c r="K337" s="33" t="str">
        <f t="shared" si="11"/>
        <v>NHC</v>
      </c>
    </row>
    <row r="338" spans="1:11" x14ac:dyDescent="0.25">
      <c r="A338" s="33" t="s">
        <v>111</v>
      </c>
      <c r="B338" s="33">
        <v>33</v>
      </c>
      <c r="C338" s="33" t="s">
        <v>42</v>
      </c>
      <c r="D338" s="33">
        <v>14</v>
      </c>
      <c r="E338" s="33" t="s">
        <v>16</v>
      </c>
      <c r="F338" s="33">
        <v>0</v>
      </c>
      <c r="G338" s="33" t="b">
        <v>0</v>
      </c>
      <c r="H338" s="33" t="s">
        <v>83</v>
      </c>
      <c r="I338" s="33">
        <v>71</v>
      </c>
      <c r="J338" s="33" t="str">
        <f t="shared" si="10"/>
        <v>Mid-to-Late Career</v>
      </c>
      <c r="K338" s="33" t="str">
        <f t="shared" si="11"/>
        <v>HC</v>
      </c>
    </row>
    <row r="339" spans="1:11" x14ac:dyDescent="0.25">
      <c r="A339" s="33" t="s">
        <v>110</v>
      </c>
      <c r="B339" s="33">
        <v>50</v>
      </c>
      <c r="C339" s="33" t="s">
        <v>42</v>
      </c>
      <c r="D339" s="33">
        <v>13</v>
      </c>
      <c r="E339" s="33" t="s">
        <v>22</v>
      </c>
      <c r="F339" s="33">
        <v>2</v>
      </c>
      <c r="G339" s="33" t="b">
        <v>0</v>
      </c>
      <c r="H339" s="33" t="s">
        <v>83</v>
      </c>
      <c r="I339" s="33">
        <v>67</v>
      </c>
      <c r="J339" s="33" t="str">
        <f t="shared" si="10"/>
        <v>Mid-to-Late Career</v>
      </c>
      <c r="K339" s="33" t="str">
        <f t="shared" si="11"/>
        <v>NHC</v>
      </c>
    </row>
    <row r="340" spans="1:11" x14ac:dyDescent="0.25">
      <c r="A340" s="33" t="s">
        <v>443</v>
      </c>
      <c r="B340" s="33">
        <v>27</v>
      </c>
      <c r="C340" s="33" t="s">
        <v>42</v>
      </c>
      <c r="D340" s="33">
        <v>0</v>
      </c>
      <c r="E340" s="33" t="s">
        <v>11</v>
      </c>
      <c r="F340" s="33">
        <v>4</v>
      </c>
      <c r="G340" s="33" t="b">
        <v>0</v>
      </c>
      <c r="H340" s="33" t="s">
        <v>83</v>
      </c>
      <c r="I340" s="33">
        <v>91</v>
      </c>
      <c r="J340" s="33" t="str">
        <f t="shared" si="10"/>
        <v>Young Professionals</v>
      </c>
      <c r="K340" s="33" t="str">
        <f t="shared" si="11"/>
        <v>NHC</v>
      </c>
    </row>
    <row r="341" spans="1:11" x14ac:dyDescent="0.25">
      <c r="A341" s="33" t="s">
        <v>444</v>
      </c>
      <c r="B341" s="33">
        <v>21</v>
      </c>
      <c r="C341" s="33" t="s">
        <v>1</v>
      </c>
      <c r="D341" s="33">
        <v>1</v>
      </c>
      <c r="E341" s="33" t="s">
        <v>11</v>
      </c>
      <c r="F341" s="33">
        <v>5</v>
      </c>
      <c r="G341" s="33" t="b">
        <v>1</v>
      </c>
      <c r="H341" s="33" t="s">
        <v>159</v>
      </c>
      <c r="I341" s="33">
        <v>90</v>
      </c>
      <c r="J341" s="33" t="str">
        <f t="shared" si="10"/>
        <v>Students</v>
      </c>
      <c r="K341" s="33" t="str">
        <f t="shared" si="11"/>
        <v>HC</v>
      </c>
    </row>
    <row r="342" spans="1:11" x14ac:dyDescent="0.25">
      <c r="A342" s="33" t="s">
        <v>445</v>
      </c>
      <c r="B342" s="33">
        <v>18</v>
      </c>
      <c r="C342" s="33" t="s">
        <v>1</v>
      </c>
      <c r="D342" s="33">
        <v>2</v>
      </c>
      <c r="E342" s="33" t="s">
        <v>11</v>
      </c>
      <c r="F342" s="33">
        <v>4</v>
      </c>
      <c r="G342" s="33" t="b">
        <v>1</v>
      </c>
      <c r="H342" s="33" t="s">
        <v>159</v>
      </c>
      <c r="I342" s="33">
        <v>92</v>
      </c>
      <c r="J342" s="33" t="str">
        <f t="shared" si="10"/>
        <v>Students</v>
      </c>
      <c r="K342" s="33" t="str">
        <f t="shared" si="11"/>
        <v>HC</v>
      </c>
    </row>
    <row r="343" spans="1:11" x14ac:dyDescent="0.25">
      <c r="A343" s="33" t="s">
        <v>446</v>
      </c>
      <c r="B343" s="33">
        <v>29</v>
      </c>
      <c r="C343" s="33" t="s">
        <v>42</v>
      </c>
      <c r="D343" s="33">
        <v>2</v>
      </c>
      <c r="E343" s="33" t="s">
        <v>23</v>
      </c>
      <c r="F343" s="33">
        <v>0</v>
      </c>
      <c r="G343" s="33" t="b">
        <v>0</v>
      </c>
      <c r="H343" s="33" t="s">
        <v>83</v>
      </c>
      <c r="I343" s="33">
        <v>93</v>
      </c>
      <c r="J343" s="33" t="str">
        <f t="shared" si="10"/>
        <v>Young Professionals</v>
      </c>
      <c r="K343" s="33" t="str">
        <f t="shared" si="11"/>
        <v>HC</v>
      </c>
    </row>
    <row r="344" spans="1:11" x14ac:dyDescent="0.25">
      <c r="A344" s="33" t="s">
        <v>447</v>
      </c>
      <c r="B344" s="33">
        <v>34</v>
      </c>
      <c r="C344" s="33" t="s">
        <v>43</v>
      </c>
      <c r="D344" s="33">
        <v>6</v>
      </c>
      <c r="E344" s="33" t="s">
        <v>13</v>
      </c>
      <c r="F344" s="33">
        <v>3</v>
      </c>
      <c r="G344" s="33" t="b">
        <v>0</v>
      </c>
      <c r="H344" s="33" t="s">
        <v>165</v>
      </c>
      <c r="I344" s="33">
        <v>97</v>
      </c>
      <c r="J344" s="33" t="str">
        <f t="shared" si="10"/>
        <v>Homemakers</v>
      </c>
      <c r="K344" s="33" t="str">
        <f t="shared" si="11"/>
        <v>NHC</v>
      </c>
    </row>
    <row r="345" spans="1:11" x14ac:dyDescent="0.25">
      <c r="A345" s="33" t="s">
        <v>109</v>
      </c>
      <c r="B345" s="33">
        <v>41</v>
      </c>
      <c r="C345" s="33" t="s">
        <v>42</v>
      </c>
      <c r="D345" s="33">
        <v>25</v>
      </c>
      <c r="E345" s="33" t="s">
        <v>16</v>
      </c>
      <c r="F345" s="33">
        <v>2</v>
      </c>
      <c r="G345" s="33" t="b">
        <v>0</v>
      </c>
      <c r="H345" s="33" t="s">
        <v>83</v>
      </c>
      <c r="I345" s="33">
        <v>73</v>
      </c>
      <c r="J345" s="33" t="str">
        <f t="shared" si="10"/>
        <v>Mid-to-Late Career</v>
      </c>
      <c r="K345" s="33" t="str">
        <f t="shared" si="11"/>
        <v>NHC</v>
      </c>
    </row>
    <row r="346" spans="1:11" x14ac:dyDescent="0.25">
      <c r="A346" s="33" t="s">
        <v>448</v>
      </c>
      <c r="B346" s="33">
        <v>21</v>
      </c>
      <c r="C346" s="33" t="s">
        <v>1</v>
      </c>
      <c r="D346" s="33">
        <v>1</v>
      </c>
      <c r="E346" s="33" t="s">
        <v>18</v>
      </c>
      <c r="F346" s="33">
        <v>5</v>
      </c>
      <c r="G346" s="33" t="b">
        <v>0</v>
      </c>
      <c r="H346" s="33" t="s">
        <v>159</v>
      </c>
      <c r="I346" s="33">
        <v>85</v>
      </c>
      <c r="J346" s="33" t="str">
        <f t="shared" si="10"/>
        <v>Students</v>
      </c>
      <c r="K346" s="33" t="str">
        <f t="shared" si="11"/>
        <v>NHC</v>
      </c>
    </row>
    <row r="347" spans="1:11" x14ac:dyDescent="0.25">
      <c r="A347" s="33" t="s">
        <v>449</v>
      </c>
      <c r="B347" s="33">
        <v>21</v>
      </c>
      <c r="C347" s="33" t="s">
        <v>1</v>
      </c>
      <c r="D347" s="33">
        <v>0</v>
      </c>
      <c r="E347" s="33" t="s">
        <v>11</v>
      </c>
      <c r="F347" s="33">
        <v>4</v>
      </c>
      <c r="G347" s="33" t="b">
        <v>1</v>
      </c>
      <c r="H347" s="33" t="s">
        <v>159</v>
      </c>
      <c r="I347" s="33">
        <v>90</v>
      </c>
      <c r="J347" s="33" t="str">
        <f t="shared" si="10"/>
        <v>Students</v>
      </c>
      <c r="K347" s="33" t="str">
        <f t="shared" si="11"/>
        <v>NHC</v>
      </c>
    </row>
    <row r="348" spans="1:11" x14ac:dyDescent="0.25">
      <c r="A348" s="33" t="s">
        <v>450</v>
      </c>
      <c r="B348" s="33">
        <v>65</v>
      </c>
      <c r="C348" s="33" t="s">
        <v>43</v>
      </c>
      <c r="D348" s="33">
        <v>2</v>
      </c>
      <c r="E348" s="33" t="s">
        <v>22</v>
      </c>
      <c r="F348" s="33">
        <v>4</v>
      </c>
      <c r="G348" s="33" t="b">
        <v>0</v>
      </c>
      <c r="H348" s="33" t="s">
        <v>165</v>
      </c>
      <c r="I348" s="33">
        <v>95</v>
      </c>
      <c r="J348" s="33" t="str">
        <f t="shared" si="10"/>
        <v>Homemakers</v>
      </c>
      <c r="K348" s="33" t="str">
        <f t="shared" si="11"/>
        <v>HC</v>
      </c>
    </row>
    <row r="349" spans="1:11" x14ac:dyDescent="0.25">
      <c r="A349" s="33" t="s">
        <v>451</v>
      </c>
      <c r="B349" s="33">
        <v>70</v>
      </c>
      <c r="C349" s="33" t="s">
        <v>44</v>
      </c>
      <c r="D349" s="33">
        <v>32</v>
      </c>
      <c r="E349" s="33" t="s">
        <v>14</v>
      </c>
      <c r="F349" s="33">
        <v>3</v>
      </c>
      <c r="G349" s="33" t="b">
        <v>1</v>
      </c>
      <c r="H349" s="33" t="s">
        <v>165</v>
      </c>
      <c r="I349" s="33">
        <v>90</v>
      </c>
      <c r="J349" s="33" t="str">
        <f t="shared" si="10"/>
        <v>Retirees</v>
      </c>
      <c r="K349" s="33" t="str">
        <f t="shared" si="11"/>
        <v>NHC</v>
      </c>
    </row>
    <row r="350" spans="1:11" x14ac:dyDescent="0.25">
      <c r="A350" s="33" t="s">
        <v>452</v>
      </c>
      <c r="B350" s="33">
        <v>28</v>
      </c>
      <c r="C350" s="33" t="s">
        <v>42</v>
      </c>
      <c r="D350" s="33">
        <v>5</v>
      </c>
      <c r="E350" s="33" t="s">
        <v>11</v>
      </c>
      <c r="F350" s="33">
        <v>3</v>
      </c>
      <c r="G350" s="33" t="b">
        <v>0</v>
      </c>
      <c r="H350" s="33" t="s">
        <v>83</v>
      </c>
      <c r="I350" s="33">
        <v>93</v>
      </c>
      <c r="J350" s="33" t="str">
        <f t="shared" si="10"/>
        <v>Young Professionals</v>
      </c>
      <c r="K350" s="33" t="str">
        <f t="shared" si="11"/>
        <v>NHC</v>
      </c>
    </row>
    <row r="351" spans="1:11" x14ac:dyDescent="0.25">
      <c r="A351" s="33" t="s">
        <v>453</v>
      </c>
      <c r="B351" s="33">
        <v>29</v>
      </c>
      <c r="C351" s="33" t="s">
        <v>42</v>
      </c>
      <c r="D351" s="33">
        <v>2</v>
      </c>
      <c r="E351" s="33" t="s">
        <v>13</v>
      </c>
      <c r="F351" s="33">
        <v>2</v>
      </c>
      <c r="G351" s="33" t="b">
        <v>0</v>
      </c>
      <c r="H351" s="33" t="s">
        <v>83</v>
      </c>
      <c r="I351" s="33">
        <v>91</v>
      </c>
      <c r="J351" s="33" t="str">
        <f t="shared" si="10"/>
        <v>Young Professionals</v>
      </c>
      <c r="K351" s="33" t="str">
        <f t="shared" si="11"/>
        <v>HC</v>
      </c>
    </row>
    <row r="352" spans="1:11" x14ac:dyDescent="0.25">
      <c r="A352" s="33" t="s">
        <v>454</v>
      </c>
      <c r="B352" s="33">
        <v>23</v>
      </c>
      <c r="C352" s="33" t="s">
        <v>42</v>
      </c>
      <c r="D352" s="33">
        <v>1</v>
      </c>
      <c r="E352" s="33" t="s">
        <v>20</v>
      </c>
      <c r="F352" s="33">
        <v>2</v>
      </c>
      <c r="G352" s="33" t="b">
        <v>0</v>
      </c>
      <c r="H352" s="33" t="s">
        <v>83</v>
      </c>
      <c r="I352" s="33">
        <v>89</v>
      </c>
      <c r="J352" s="33" t="str">
        <f t="shared" si="10"/>
        <v>Young Professionals</v>
      </c>
      <c r="K352" s="33" t="str">
        <f t="shared" si="11"/>
        <v>NHC</v>
      </c>
    </row>
    <row r="353" spans="1:11" x14ac:dyDescent="0.25">
      <c r="A353" s="33" t="s">
        <v>455</v>
      </c>
      <c r="B353" s="33">
        <v>56</v>
      </c>
      <c r="C353" s="33" t="s">
        <v>44</v>
      </c>
      <c r="D353" s="33">
        <v>26</v>
      </c>
      <c r="E353" s="33" t="s">
        <v>22</v>
      </c>
      <c r="F353" s="33">
        <v>4</v>
      </c>
      <c r="G353" s="33" t="b">
        <v>0</v>
      </c>
      <c r="H353" s="33" t="s">
        <v>165</v>
      </c>
      <c r="I353" s="33">
        <v>92</v>
      </c>
      <c r="J353" s="33" t="str">
        <f t="shared" si="10"/>
        <v>Retirees</v>
      </c>
      <c r="K353" s="33" t="str">
        <f t="shared" si="11"/>
        <v>NHC</v>
      </c>
    </row>
    <row r="354" spans="1:11" x14ac:dyDescent="0.25">
      <c r="A354" s="33" t="s">
        <v>456</v>
      </c>
      <c r="B354" s="33">
        <v>18</v>
      </c>
      <c r="C354" s="33" t="s">
        <v>1</v>
      </c>
      <c r="D354" s="33">
        <v>0</v>
      </c>
      <c r="E354" s="33" t="s">
        <v>11</v>
      </c>
      <c r="F354" s="33">
        <v>3</v>
      </c>
      <c r="G354" s="33" t="b">
        <v>1</v>
      </c>
      <c r="H354" s="33" t="s">
        <v>159</v>
      </c>
      <c r="I354" s="33">
        <v>92</v>
      </c>
      <c r="J354" s="33" t="str">
        <f t="shared" si="10"/>
        <v>Students</v>
      </c>
      <c r="K354" s="33" t="str">
        <f t="shared" si="11"/>
        <v>NHC</v>
      </c>
    </row>
    <row r="355" spans="1:11" x14ac:dyDescent="0.25">
      <c r="A355" s="33" t="s">
        <v>457</v>
      </c>
      <c r="B355" s="33">
        <v>30</v>
      </c>
      <c r="C355" s="33" t="s">
        <v>42</v>
      </c>
      <c r="D355" s="33">
        <v>3</v>
      </c>
      <c r="E355" s="33" t="s">
        <v>22</v>
      </c>
      <c r="F355" s="33">
        <v>1</v>
      </c>
      <c r="G355" s="33" t="b">
        <v>0</v>
      </c>
      <c r="H355" s="33" t="s">
        <v>83</v>
      </c>
      <c r="I355" s="33">
        <v>94</v>
      </c>
      <c r="J355" s="33" t="str">
        <f t="shared" si="10"/>
        <v>Young Professionals</v>
      </c>
      <c r="K355" s="33" t="str">
        <f t="shared" si="11"/>
        <v>HC</v>
      </c>
    </row>
    <row r="356" spans="1:11" x14ac:dyDescent="0.25">
      <c r="A356" s="33" t="s">
        <v>458</v>
      </c>
      <c r="B356" s="33">
        <v>44</v>
      </c>
      <c r="C356" s="33" t="s">
        <v>43</v>
      </c>
      <c r="D356" s="33">
        <v>14</v>
      </c>
      <c r="E356" s="33" t="s">
        <v>8</v>
      </c>
      <c r="F356" s="33">
        <v>5</v>
      </c>
      <c r="G356" s="33" t="b">
        <v>0</v>
      </c>
      <c r="H356" s="33" t="s">
        <v>165</v>
      </c>
      <c r="I356" s="33">
        <v>97</v>
      </c>
      <c r="J356" s="33" t="str">
        <f t="shared" si="10"/>
        <v>Homemakers</v>
      </c>
      <c r="K356" s="33" t="str">
        <f t="shared" si="11"/>
        <v>NHC</v>
      </c>
    </row>
    <row r="357" spans="1:11" x14ac:dyDescent="0.25">
      <c r="A357" s="33" t="s">
        <v>459</v>
      </c>
      <c r="B357" s="33">
        <v>20</v>
      </c>
      <c r="C357" s="33" t="s">
        <v>1</v>
      </c>
      <c r="D357" s="33">
        <v>0</v>
      </c>
      <c r="E357" s="33" t="s">
        <v>11</v>
      </c>
      <c r="F357" s="33">
        <v>3</v>
      </c>
      <c r="G357" s="33" t="b">
        <v>1</v>
      </c>
      <c r="H357" s="33" t="s">
        <v>159</v>
      </c>
      <c r="I357" s="33">
        <v>89</v>
      </c>
      <c r="J357" s="33" t="str">
        <f t="shared" si="10"/>
        <v>Students</v>
      </c>
      <c r="K357" s="33" t="str">
        <f t="shared" si="11"/>
        <v>NHC</v>
      </c>
    </row>
    <row r="358" spans="1:11" x14ac:dyDescent="0.25">
      <c r="A358" s="33" t="s">
        <v>460</v>
      </c>
      <c r="B358" s="33">
        <v>25</v>
      </c>
      <c r="C358" s="33" t="s">
        <v>42</v>
      </c>
      <c r="D358" s="33">
        <v>0</v>
      </c>
      <c r="E358" s="33" t="s">
        <v>16</v>
      </c>
      <c r="F358" s="33">
        <v>1</v>
      </c>
      <c r="G358" s="33" t="b">
        <v>0</v>
      </c>
      <c r="H358" s="33" t="s">
        <v>83</v>
      </c>
      <c r="I358" s="33">
        <v>94</v>
      </c>
      <c r="J358" s="33" t="str">
        <f t="shared" si="10"/>
        <v>Young Professionals</v>
      </c>
      <c r="K358" s="33" t="str">
        <f t="shared" si="11"/>
        <v>HC</v>
      </c>
    </row>
    <row r="359" spans="1:11" x14ac:dyDescent="0.25">
      <c r="A359" s="33" t="s">
        <v>461</v>
      </c>
      <c r="B359" s="33">
        <v>53</v>
      </c>
      <c r="C359" s="33" t="s">
        <v>43</v>
      </c>
      <c r="D359" s="33">
        <v>3</v>
      </c>
      <c r="E359" s="33" t="s">
        <v>23</v>
      </c>
      <c r="F359" s="33">
        <v>5</v>
      </c>
      <c r="G359" s="33" t="b">
        <v>0</v>
      </c>
      <c r="H359" s="33" t="s">
        <v>165</v>
      </c>
      <c r="I359" s="33">
        <v>96</v>
      </c>
      <c r="J359" s="33" t="str">
        <f t="shared" si="10"/>
        <v>Homemakers</v>
      </c>
      <c r="K359" s="33" t="str">
        <f t="shared" si="11"/>
        <v>NHC</v>
      </c>
    </row>
    <row r="360" spans="1:11" x14ac:dyDescent="0.25">
      <c r="A360" s="33" t="s">
        <v>462</v>
      </c>
      <c r="B360" s="33">
        <v>23</v>
      </c>
      <c r="C360" s="33" t="s">
        <v>42</v>
      </c>
      <c r="D360" s="33">
        <v>3</v>
      </c>
      <c r="E360" s="33" t="s">
        <v>11</v>
      </c>
      <c r="F360" s="33">
        <v>3</v>
      </c>
      <c r="G360" s="33" t="b">
        <v>0</v>
      </c>
      <c r="H360" s="33" t="s">
        <v>83</v>
      </c>
      <c r="I360" s="33">
        <v>90</v>
      </c>
      <c r="J360" s="33" t="str">
        <f t="shared" si="10"/>
        <v>Young Professionals</v>
      </c>
      <c r="K360" s="33" t="str">
        <f t="shared" si="11"/>
        <v>NHC</v>
      </c>
    </row>
    <row r="361" spans="1:11" x14ac:dyDescent="0.25">
      <c r="A361" s="33" t="s">
        <v>463</v>
      </c>
      <c r="B361" s="33">
        <v>18</v>
      </c>
      <c r="C361" s="33" t="s">
        <v>1</v>
      </c>
      <c r="D361" s="33">
        <v>2</v>
      </c>
      <c r="E361" s="33" t="s">
        <v>10</v>
      </c>
      <c r="F361" s="33">
        <v>4</v>
      </c>
      <c r="G361" s="33" t="b">
        <v>0</v>
      </c>
      <c r="H361" s="33" t="s">
        <v>159</v>
      </c>
      <c r="I361" s="33">
        <v>86</v>
      </c>
      <c r="J361" s="33" t="str">
        <f t="shared" si="10"/>
        <v>Students</v>
      </c>
      <c r="K361" s="33" t="str">
        <f t="shared" si="11"/>
        <v>HC</v>
      </c>
    </row>
    <row r="362" spans="1:11" x14ac:dyDescent="0.25">
      <c r="A362" s="33" t="s">
        <v>464</v>
      </c>
      <c r="B362" s="33">
        <v>20</v>
      </c>
      <c r="C362" s="33" t="s">
        <v>1</v>
      </c>
      <c r="D362" s="33">
        <v>0</v>
      </c>
      <c r="E362" s="33" t="s">
        <v>11</v>
      </c>
      <c r="F362" s="33">
        <v>4</v>
      </c>
      <c r="G362" s="33" t="b">
        <v>1</v>
      </c>
      <c r="H362" s="33" t="s">
        <v>159</v>
      </c>
      <c r="I362" s="33">
        <v>88</v>
      </c>
      <c r="J362" s="33" t="str">
        <f t="shared" si="10"/>
        <v>Students</v>
      </c>
      <c r="K362" s="33" t="str">
        <f t="shared" si="11"/>
        <v>NHC</v>
      </c>
    </row>
    <row r="363" spans="1:11" x14ac:dyDescent="0.25">
      <c r="A363" s="33" t="s">
        <v>465</v>
      </c>
      <c r="B363" s="33">
        <v>30</v>
      </c>
      <c r="C363" s="33" t="s">
        <v>42</v>
      </c>
      <c r="D363" s="33">
        <v>0</v>
      </c>
      <c r="E363" s="33" t="s">
        <v>23</v>
      </c>
      <c r="F363" s="33">
        <v>2</v>
      </c>
      <c r="G363" s="33" t="b">
        <v>0</v>
      </c>
      <c r="H363" s="33" t="s">
        <v>83</v>
      </c>
      <c r="I363" s="33">
        <v>93</v>
      </c>
      <c r="J363" s="33" t="str">
        <f t="shared" si="10"/>
        <v>Young Professionals</v>
      </c>
      <c r="K363" s="33" t="str">
        <f t="shared" si="11"/>
        <v>HC</v>
      </c>
    </row>
    <row r="364" spans="1:11" x14ac:dyDescent="0.25">
      <c r="A364" s="33" t="s">
        <v>466</v>
      </c>
      <c r="B364" s="33">
        <v>28</v>
      </c>
      <c r="C364" s="33" t="s">
        <v>42</v>
      </c>
      <c r="D364" s="33">
        <v>1</v>
      </c>
      <c r="E364" s="33" t="s">
        <v>11</v>
      </c>
      <c r="F364" s="33">
        <v>2</v>
      </c>
      <c r="G364" s="33" t="b">
        <v>0</v>
      </c>
      <c r="H364" s="33" t="s">
        <v>83</v>
      </c>
      <c r="I364" s="33">
        <v>87</v>
      </c>
      <c r="J364" s="33" t="str">
        <f t="shared" si="10"/>
        <v>Young Professionals</v>
      </c>
      <c r="K364" s="33" t="str">
        <f t="shared" si="11"/>
        <v>NHC</v>
      </c>
    </row>
    <row r="365" spans="1:11" x14ac:dyDescent="0.25">
      <c r="A365" s="33" t="s">
        <v>467</v>
      </c>
      <c r="B365" s="33">
        <v>19</v>
      </c>
      <c r="C365" s="33" t="s">
        <v>1</v>
      </c>
      <c r="D365" s="33">
        <v>0</v>
      </c>
      <c r="E365" s="33" t="s">
        <v>11</v>
      </c>
      <c r="F365" s="33">
        <v>4</v>
      </c>
      <c r="G365" s="33" t="b">
        <v>1</v>
      </c>
      <c r="H365" s="33" t="s">
        <v>159</v>
      </c>
      <c r="I365" s="33">
        <v>90</v>
      </c>
      <c r="J365" s="33" t="str">
        <f t="shared" si="10"/>
        <v>Students</v>
      </c>
      <c r="K365" s="33" t="str">
        <f t="shared" si="11"/>
        <v>HC</v>
      </c>
    </row>
    <row r="366" spans="1:11" x14ac:dyDescent="0.25">
      <c r="A366" s="33" t="s">
        <v>468</v>
      </c>
      <c r="B366" s="33">
        <v>21</v>
      </c>
      <c r="C366" s="33" t="s">
        <v>1</v>
      </c>
      <c r="D366" s="33">
        <v>0</v>
      </c>
      <c r="E366" s="33" t="s">
        <v>11</v>
      </c>
      <c r="F366" s="33">
        <v>3</v>
      </c>
      <c r="G366" s="33" t="b">
        <v>1</v>
      </c>
      <c r="H366" s="33" t="s">
        <v>159</v>
      </c>
      <c r="I366" s="33">
        <v>90</v>
      </c>
      <c r="J366" s="33" t="str">
        <f t="shared" si="10"/>
        <v>Students</v>
      </c>
      <c r="K366" s="33" t="str">
        <f t="shared" si="11"/>
        <v>HC</v>
      </c>
    </row>
    <row r="367" spans="1:11" x14ac:dyDescent="0.25">
      <c r="A367" s="33" t="s">
        <v>469</v>
      </c>
      <c r="B367" s="33">
        <v>21</v>
      </c>
      <c r="C367" s="33" t="s">
        <v>1</v>
      </c>
      <c r="D367" s="33">
        <v>2</v>
      </c>
      <c r="E367" s="33" t="s">
        <v>11</v>
      </c>
      <c r="F367" s="33">
        <v>5</v>
      </c>
      <c r="G367" s="33" t="b">
        <v>1</v>
      </c>
      <c r="H367" s="33" t="s">
        <v>159</v>
      </c>
      <c r="I367" s="33">
        <v>89</v>
      </c>
      <c r="J367" s="33" t="str">
        <f t="shared" si="10"/>
        <v>Students</v>
      </c>
      <c r="K367" s="33" t="str">
        <f t="shared" si="11"/>
        <v>HC</v>
      </c>
    </row>
    <row r="368" spans="1:11" x14ac:dyDescent="0.25">
      <c r="A368" s="33" t="s">
        <v>470</v>
      </c>
      <c r="B368" s="33">
        <v>26</v>
      </c>
      <c r="C368" s="33" t="s">
        <v>42</v>
      </c>
      <c r="D368" s="33">
        <v>5</v>
      </c>
      <c r="E368" s="33" t="s">
        <v>16</v>
      </c>
      <c r="F368" s="33">
        <v>0</v>
      </c>
      <c r="G368" s="33" t="b">
        <v>0</v>
      </c>
      <c r="H368" s="33" t="s">
        <v>83</v>
      </c>
      <c r="I368" s="33">
        <v>92</v>
      </c>
      <c r="J368" s="33" t="str">
        <f t="shared" si="10"/>
        <v>Young Professionals</v>
      </c>
      <c r="K368" s="33" t="str">
        <f t="shared" si="11"/>
        <v>HC</v>
      </c>
    </row>
    <row r="369" spans="1:11" x14ac:dyDescent="0.25">
      <c r="A369" s="33" t="s">
        <v>108</v>
      </c>
      <c r="B369" s="33">
        <v>46</v>
      </c>
      <c r="C369" s="33" t="s">
        <v>42</v>
      </c>
      <c r="D369" s="33">
        <v>14</v>
      </c>
      <c r="E369" s="33" t="s">
        <v>11</v>
      </c>
      <c r="F369" s="33">
        <v>1</v>
      </c>
      <c r="G369" s="33" t="b">
        <v>0</v>
      </c>
      <c r="H369" s="33" t="s">
        <v>83</v>
      </c>
      <c r="I369" s="33">
        <v>82</v>
      </c>
      <c r="J369" s="33" t="str">
        <f t="shared" si="10"/>
        <v>Mid-to-Late Career</v>
      </c>
      <c r="K369" s="33" t="str">
        <f t="shared" si="11"/>
        <v>NHC</v>
      </c>
    </row>
    <row r="370" spans="1:11" x14ac:dyDescent="0.25">
      <c r="A370" s="33" t="s">
        <v>471</v>
      </c>
      <c r="B370" s="33">
        <v>25</v>
      </c>
      <c r="C370" s="33" t="s">
        <v>42</v>
      </c>
      <c r="D370" s="33">
        <v>1</v>
      </c>
      <c r="E370" s="33" t="s">
        <v>11</v>
      </c>
      <c r="F370" s="33">
        <v>4</v>
      </c>
      <c r="G370" s="33" t="b">
        <v>0</v>
      </c>
      <c r="H370" s="33" t="s">
        <v>83</v>
      </c>
      <c r="I370" s="33">
        <v>92</v>
      </c>
      <c r="J370" s="33" t="str">
        <f t="shared" si="10"/>
        <v>Young Professionals</v>
      </c>
      <c r="K370" s="33" t="str">
        <f t="shared" si="11"/>
        <v>HC</v>
      </c>
    </row>
    <row r="371" spans="1:11" x14ac:dyDescent="0.25">
      <c r="A371" s="33" t="s">
        <v>472</v>
      </c>
      <c r="B371" s="33">
        <v>27</v>
      </c>
      <c r="C371" s="33" t="s">
        <v>43</v>
      </c>
      <c r="D371" s="33">
        <v>11</v>
      </c>
      <c r="E371" s="33" t="s">
        <v>18</v>
      </c>
      <c r="F371" s="33">
        <v>3</v>
      </c>
      <c r="G371" s="33" t="b">
        <v>0</v>
      </c>
      <c r="H371" s="33" t="s">
        <v>165</v>
      </c>
      <c r="I371" s="33">
        <v>93</v>
      </c>
      <c r="J371" s="33" t="str">
        <f t="shared" si="10"/>
        <v>Homemakers</v>
      </c>
      <c r="K371" s="33" t="str">
        <f t="shared" si="11"/>
        <v>HC</v>
      </c>
    </row>
    <row r="372" spans="1:11" x14ac:dyDescent="0.25">
      <c r="A372" s="33" t="s">
        <v>473</v>
      </c>
      <c r="B372" s="33">
        <v>20</v>
      </c>
      <c r="C372" s="33" t="s">
        <v>1</v>
      </c>
      <c r="D372" s="33">
        <v>0</v>
      </c>
      <c r="E372" s="33" t="s">
        <v>11</v>
      </c>
      <c r="F372" s="33">
        <v>4</v>
      </c>
      <c r="G372" s="33" t="b">
        <v>1</v>
      </c>
      <c r="H372" s="33" t="s">
        <v>159</v>
      </c>
      <c r="I372" s="33">
        <v>87</v>
      </c>
      <c r="J372" s="33" t="str">
        <f t="shared" si="10"/>
        <v>Students</v>
      </c>
      <c r="K372" s="33" t="str">
        <f t="shared" si="11"/>
        <v>NHC</v>
      </c>
    </row>
    <row r="373" spans="1:11" x14ac:dyDescent="0.25">
      <c r="A373" s="33" t="s">
        <v>474</v>
      </c>
      <c r="B373" s="33">
        <v>69</v>
      </c>
      <c r="C373" s="33" t="s">
        <v>44</v>
      </c>
      <c r="D373" s="33">
        <v>35</v>
      </c>
      <c r="E373" s="33" t="s">
        <v>10</v>
      </c>
      <c r="F373" s="33">
        <v>5</v>
      </c>
      <c r="G373" s="33" t="b">
        <v>0</v>
      </c>
      <c r="H373" s="33" t="s">
        <v>165</v>
      </c>
      <c r="I373" s="33">
        <v>88</v>
      </c>
      <c r="J373" s="33" t="str">
        <f t="shared" si="10"/>
        <v>Retirees</v>
      </c>
      <c r="K373" s="33" t="str">
        <f t="shared" si="11"/>
        <v>HC</v>
      </c>
    </row>
    <row r="374" spans="1:11" x14ac:dyDescent="0.25">
      <c r="A374" s="33" t="s">
        <v>475</v>
      </c>
      <c r="B374" s="33">
        <v>23</v>
      </c>
      <c r="C374" s="33" t="s">
        <v>42</v>
      </c>
      <c r="D374" s="33">
        <v>2</v>
      </c>
      <c r="E374" s="33" t="s">
        <v>16</v>
      </c>
      <c r="F374" s="33">
        <v>1</v>
      </c>
      <c r="G374" s="33" t="b">
        <v>0</v>
      </c>
      <c r="H374" s="33" t="s">
        <v>83</v>
      </c>
      <c r="I374" s="33">
        <v>92</v>
      </c>
      <c r="J374" s="33" t="str">
        <f t="shared" si="10"/>
        <v>Young Professionals</v>
      </c>
      <c r="K374" s="33" t="str">
        <f t="shared" si="11"/>
        <v>NHC</v>
      </c>
    </row>
    <row r="375" spans="1:11" x14ac:dyDescent="0.25">
      <c r="A375" s="33" t="s">
        <v>476</v>
      </c>
      <c r="B375" s="33">
        <v>26</v>
      </c>
      <c r="C375" s="33" t="s">
        <v>42</v>
      </c>
      <c r="D375" s="33">
        <v>5</v>
      </c>
      <c r="E375" s="33" t="s">
        <v>20</v>
      </c>
      <c r="F375" s="33">
        <v>2</v>
      </c>
      <c r="G375" s="33" t="b">
        <v>0</v>
      </c>
      <c r="H375" s="33" t="s">
        <v>83</v>
      </c>
      <c r="I375" s="33">
        <v>92</v>
      </c>
      <c r="J375" s="33" t="str">
        <f t="shared" si="10"/>
        <v>Young Professionals</v>
      </c>
      <c r="K375" s="33" t="str">
        <f t="shared" si="11"/>
        <v>NHC</v>
      </c>
    </row>
    <row r="376" spans="1:11" x14ac:dyDescent="0.25">
      <c r="A376" s="33" t="s">
        <v>477</v>
      </c>
      <c r="B376" s="33">
        <v>26</v>
      </c>
      <c r="C376" s="33" t="s">
        <v>42</v>
      </c>
      <c r="D376" s="33">
        <v>5</v>
      </c>
      <c r="E376" s="33" t="s">
        <v>14</v>
      </c>
      <c r="F376" s="33">
        <v>0</v>
      </c>
      <c r="G376" s="33" t="b">
        <v>0</v>
      </c>
      <c r="H376" s="33" t="s">
        <v>83</v>
      </c>
      <c r="I376" s="33">
        <v>90</v>
      </c>
      <c r="J376" s="33" t="str">
        <f t="shared" si="10"/>
        <v>Young Professionals</v>
      </c>
      <c r="K376" s="33" t="str">
        <f t="shared" si="11"/>
        <v>NHC</v>
      </c>
    </row>
    <row r="377" spans="1:11" x14ac:dyDescent="0.25">
      <c r="A377" s="33" t="s">
        <v>478</v>
      </c>
      <c r="B377" s="33">
        <v>21</v>
      </c>
      <c r="C377" s="33" t="s">
        <v>1</v>
      </c>
      <c r="D377" s="33">
        <v>0</v>
      </c>
      <c r="E377" s="33" t="s">
        <v>23</v>
      </c>
      <c r="F377" s="33">
        <v>4</v>
      </c>
      <c r="G377" s="33" t="b">
        <v>1</v>
      </c>
      <c r="H377" s="33" t="s">
        <v>159</v>
      </c>
      <c r="I377" s="33">
        <v>87</v>
      </c>
      <c r="J377" s="33" t="str">
        <f t="shared" si="10"/>
        <v>Students</v>
      </c>
      <c r="K377" s="33" t="str">
        <f t="shared" si="11"/>
        <v>NHC</v>
      </c>
    </row>
    <row r="378" spans="1:11" x14ac:dyDescent="0.25">
      <c r="A378" s="33" t="s">
        <v>479</v>
      </c>
      <c r="B378" s="33">
        <v>41</v>
      </c>
      <c r="C378" s="33" t="s">
        <v>43</v>
      </c>
      <c r="D378" s="33">
        <v>4</v>
      </c>
      <c r="E378" s="33" t="s">
        <v>22</v>
      </c>
      <c r="F378" s="33">
        <v>4</v>
      </c>
      <c r="G378" s="33" t="b">
        <v>0</v>
      </c>
      <c r="H378" s="33" t="s">
        <v>165</v>
      </c>
      <c r="I378" s="33">
        <v>94</v>
      </c>
      <c r="J378" s="33" t="str">
        <f t="shared" si="10"/>
        <v>Homemakers</v>
      </c>
      <c r="K378" s="33" t="str">
        <f t="shared" si="11"/>
        <v>NHC</v>
      </c>
    </row>
    <row r="379" spans="1:11" x14ac:dyDescent="0.25">
      <c r="A379" s="33" t="s">
        <v>480</v>
      </c>
      <c r="B379" s="33">
        <v>18</v>
      </c>
      <c r="C379" s="33" t="s">
        <v>1</v>
      </c>
      <c r="D379" s="33">
        <v>2</v>
      </c>
      <c r="E379" s="33" t="s">
        <v>11</v>
      </c>
      <c r="F379" s="33">
        <v>3</v>
      </c>
      <c r="G379" s="33" t="b">
        <v>1</v>
      </c>
      <c r="H379" s="33" t="s">
        <v>159</v>
      </c>
      <c r="I379" s="33">
        <v>89</v>
      </c>
      <c r="J379" s="33" t="str">
        <f t="shared" si="10"/>
        <v>Students</v>
      </c>
      <c r="K379" s="33" t="str">
        <f t="shared" si="11"/>
        <v>NHC</v>
      </c>
    </row>
    <row r="380" spans="1:11" x14ac:dyDescent="0.25">
      <c r="A380" s="33" t="s">
        <v>481</v>
      </c>
      <c r="B380" s="33">
        <v>20</v>
      </c>
      <c r="C380" s="33" t="s">
        <v>1</v>
      </c>
      <c r="D380" s="33">
        <v>0</v>
      </c>
      <c r="E380" s="33" t="s">
        <v>11</v>
      </c>
      <c r="F380" s="33">
        <v>5</v>
      </c>
      <c r="G380" s="33" t="b">
        <v>1</v>
      </c>
      <c r="H380" s="33" t="s">
        <v>159</v>
      </c>
      <c r="I380" s="33">
        <v>90</v>
      </c>
      <c r="J380" s="33" t="str">
        <f t="shared" si="10"/>
        <v>Students</v>
      </c>
      <c r="K380" s="33" t="str">
        <f t="shared" si="11"/>
        <v>HC</v>
      </c>
    </row>
    <row r="381" spans="1:11" x14ac:dyDescent="0.25">
      <c r="A381" s="33" t="s">
        <v>482</v>
      </c>
      <c r="B381" s="33">
        <v>21</v>
      </c>
      <c r="C381" s="33" t="s">
        <v>1</v>
      </c>
      <c r="D381" s="33">
        <v>2</v>
      </c>
      <c r="E381" s="33" t="s">
        <v>11</v>
      </c>
      <c r="F381" s="33">
        <v>5</v>
      </c>
      <c r="G381" s="33" t="b">
        <v>1</v>
      </c>
      <c r="H381" s="33" t="s">
        <v>159</v>
      </c>
      <c r="I381" s="33">
        <v>87</v>
      </c>
      <c r="J381" s="33" t="str">
        <f t="shared" si="10"/>
        <v>Students</v>
      </c>
      <c r="K381" s="33" t="str">
        <f t="shared" si="11"/>
        <v>HC</v>
      </c>
    </row>
    <row r="382" spans="1:11" x14ac:dyDescent="0.25">
      <c r="A382" s="33" t="s">
        <v>483</v>
      </c>
      <c r="B382" s="33">
        <v>21</v>
      </c>
      <c r="C382" s="33" t="s">
        <v>1</v>
      </c>
      <c r="D382" s="33">
        <v>1</v>
      </c>
      <c r="E382" s="33" t="s">
        <v>11</v>
      </c>
      <c r="F382" s="33">
        <v>4</v>
      </c>
      <c r="G382" s="33" t="b">
        <v>1</v>
      </c>
      <c r="H382" s="33" t="s">
        <v>159</v>
      </c>
      <c r="I382" s="33">
        <v>92</v>
      </c>
      <c r="J382" s="33" t="str">
        <f t="shared" si="10"/>
        <v>Students</v>
      </c>
      <c r="K382" s="33" t="str">
        <f t="shared" si="11"/>
        <v>HC</v>
      </c>
    </row>
    <row r="383" spans="1:11" x14ac:dyDescent="0.25">
      <c r="A383" s="33" t="s">
        <v>484</v>
      </c>
      <c r="B383" s="33">
        <v>33</v>
      </c>
      <c r="C383" s="33" t="s">
        <v>43</v>
      </c>
      <c r="D383" s="33">
        <v>13</v>
      </c>
      <c r="E383" s="33" t="s">
        <v>14</v>
      </c>
      <c r="F383" s="33">
        <v>3</v>
      </c>
      <c r="G383" s="33" t="b">
        <v>0</v>
      </c>
      <c r="H383" s="33" t="s">
        <v>165</v>
      </c>
      <c r="I383" s="33">
        <v>95</v>
      </c>
      <c r="J383" s="33" t="str">
        <f t="shared" si="10"/>
        <v>Homemakers</v>
      </c>
      <c r="K383" s="33" t="str">
        <f t="shared" si="11"/>
        <v>HC</v>
      </c>
    </row>
    <row r="384" spans="1:11" x14ac:dyDescent="0.25">
      <c r="A384" s="33" t="s">
        <v>485</v>
      </c>
      <c r="B384" s="33">
        <v>21</v>
      </c>
      <c r="C384" s="33" t="s">
        <v>1</v>
      </c>
      <c r="D384" s="33">
        <v>1</v>
      </c>
      <c r="E384" s="33" t="s">
        <v>11</v>
      </c>
      <c r="F384" s="33">
        <v>5</v>
      </c>
      <c r="G384" s="33" t="b">
        <v>1</v>
      </c>
      <c r="H384" s="33" t="s">
        <v>159</v>
      </c>
      <c r="I384" s="33">
        <v>87</v>
      </c>
      <c r="J384" s="33" t="str">
        <f t="shared" si="10"/>
        <v>Students</v>
      </c>
      <c r="K384" s="33" t="str">
        <f t="shared" si="11"/>
        <v>NHC</v>
      </c>
    </row>
    <row r="385" spans="1:11" x14ac:dyDescent="0.25">
      <c r="A385" s="33" t="s">
        <v>107</v>
      </c>
      <c r="B385" s="33">
        <v>51</v>
      </c>
      <c r="C385" s="33" t="s">
        <v>42</v>
      </c>
      <c r="D385" s="33">
        <v>10</v>
      </c>
      <c r="E385" s="33" t="s">
        <v>11</v>
      </c>
      <c r="F385" s="33">
        <v>3</v>
      </c>
      <c r="G385" s="33" t="b">
        <v>0</v>
      </c>
      <c r="H385" s="33" t="s">
        <v>83</v>
      </c>
      <c r="I385" s="33">
        <v>84</v>
      </c>
      <c r="J385" s="33" t="str">
        <f t="shared" si="10"/>
        <v>Mid-to-Late Career</v>
      </c>
      <c r="K385" s="33" t="str">
        <f t="shared" si="11"/>
        <v>HC</v>
      </c>
    </row>
    <row r="386" spans="1:11" x14ac:dyDescent="0.25">
      <c r="A386" s="33" t="s">
        <v>486</v>
      </c>
      <c r="B386" s="33">
        <v>18</v>
      </c>
      <c r="C386" s="33" t="s">
        <v>43</v>
      </c>
      <c r="D386" s="33">
        <v>1</v>
      </c>
      <c r="E386" s="33" t="s">
        <v>14</v>
      </c>
      <c r="F386" s="33">
        <v>4</v>
      </c>
      <c r="G386" s="33" t="b">
        <v>1</v>
      </c>
      <c r="H386" s="33" t="s">
        <v>165</v>
      </c>
      <c r="I386" s="33">
        <v>96</v>
      </c>
      <c r="J386" s="33" t="str">
        <f t="shared" ref="J386:J449" si="12">IF(C386="Student", "Students", IF(AND(C386="Employed", B386&gt;=22, B386&lt;=30), "Young Professionals", IF(AND(C386="Employed", B386&gt;=31, B386&lt;=55), "Mid-to-Late Career", IF(C386="Retired", "Retirees", "Homemakers"))))</f>
        <v>Homemakers</v>
      </c>
      <c r="K386" s="33" t="str">
        <f t="shared" ref="K386:K449" si="13">IF(E385="Healthcare &amp; Life Sciences", "HC", "NHC")</f>
        <v>HC</v>
      </c>
    </row>
    <row r="387" spans="1:11" x14ac:dyDescent="0.25">
      <c r="A387" s="33" t="s">
        <v>487</v>
      </c>
      <c r="B387" s="33">
        <v>19</v>
      </c>
      <c r="C387" s="33" t="s">
        <v>1</v>
      </c>
      <c r="D387" s="33">
        <v>2</v>
      </c>
      <c r="E387" s="33" t="s">
        <v>11</v>
      </c>
      <c r="F387" s="33">
        <v>5</v>
      </c>
      <c r="G387" s="33" t="b">
        <v>1</v>
      </c>
      <c r="H387" s="33" t="s">
        <v>159</v>
      </c>
      <c r="I387" s="33">
        <v>89</v>
      </c>
      <c r="J387" s="33" t="str">
        <f t="shared" si="12"/>
        <v>Students</v>
      </c>
      <c r="K387" s="33" t="str">
        <f t="shared" si="13"/>
        <v>NHC</v>
      </c>
    </row>
    <row r="388" spans="1:11" x14ac:dyDescent="0.25">
      <c r="A388" s="33" t="s">
        <v>488</v>
      </c>
      <c r="B388" s="33">
        <v>24</v>
      </c>
      <c r="C388" s="33" t="s">
        <v>42</v>
      </c>
      <c r="D388" s="33">
        <v>2</v>
      </c>
      <c r="E388" s="33" t="s">
        <v>23</v>
      </c>
      <c r="F388" s="33">
        <v>1</v>
      </c>
      <c r="G388" s="33" t="b">
        <v>1</v>
      </c>
      <c r="H388" s="33" t="s">
        <v>83</v>
      </c>
      <c r="I388" s="33">
        <v>95</v>
      </c>
      <c r="J388" s="33" t="str">
        <f t="shared" si="12"/>
        <v>Young Professionals</v>
      </c>
      <c r="K388" s="33" t="str">
        <f t="shared" si="13"/>
        <v>HC</v>
      </c>
    </row>
    <row r="389" spans="1:11" x14ac:dyDescent="0.25">
      <c r="A389" s="33" t="s">
        <v>489</v>
      </c>
      <c r="B389" s="33">
        <v>20</v>
      </c>
      <c r="C389" s="33" t="s">
        <v>1</v>
      </c>
      <c r="D389" s="33">
        <v>2</v>
      </c>
      <c r="E389" s="33" t="s">
        <v>11</v>
      </c>
      <c r="F389" s="33">
        <v>3</v>
      </c>
      <c r="G389" s="33" t="b">
        <v>1</v>
      </c>
      <c r="H389" s="33" t="s">
        <v>159</v>
      </c>
      <c r="I389" s="33">
        <v>88</v>
      </c>
      <c r="J389" s="33" t="str">
        <f t="shared" si="12"/>
        <v>Students</v>
      </c>
      <c r="K389" s="33" t="str">
        <f t="shared" si="13"/>
        <v>NHC</v>
      </c>
    </row>
    <row r="390" spans="1:11" x14ac:dyDescent="0.25">
      <c r="A390" s="33" t="s">
        <v>490</v>
      </c>
      <c r="B390" s="33">
        <v>21</v>
      </c>
      <c r="C390" s="33" t="s">
        <v>1</v>
      </c>
      <c r="D390" s="33">
        <v>2</v>
      </c>
      <c r="E390" s="33" t="s">
        <v>20</v>
      </c>
      <c r="F390" s="33">
        <v>4</v>
      </c>
      <c r="G390" s="33" t="b">
        <v>1</v>
      </c>
      <c r="H390" s="33" t="s">
        <v>159</v>
      </c>
      <c r="I390" s="33">
        <v>85</v>
      </c>
      <c r="J390" s="33" t="str">
        <f t="shared" si="12"/>
        <v>Students</v>
      </c>
      <c r="K390" s="33" t="str">
        <f t="shared" si="13"/>
        <v>HC</v>
      </c>
    </row>
    <row r="391" spans="1:11" x14ac:dyDescent="0.25">
      <c r="A391" s="33" t="s">
        <v>491</v>
      </c>
      <c r="B391" s="33">
        <v>20</v>
      </c>
      <c r="C391" s="33" t="s">
        <v>1</v>
      </c>
      <c r="D391" s="33">
        <v>0</v>
      </c>
      <c r="E391" s="33" t="s">
        <v>11</v>
      </c>
      <c r="F391" s="33">
        <v>4</v>
      </c>
      <c r="G391" s="33" t="b">
        <v>1</v>
      </c>
      <c r="H391" s="33" t="s">
        <v>159</v>
      </c>
      <c r="I391" s="33">
        <v>87</v>
      </c>
      <c r="J391" s="33" t="str">
        <f t="shared" si="12"/>
        <v>Students</v>
      </c>
      <c r="K391" s="33" t="str">
        <f t="shared" si="13"/>
        <v>NHC</v>
      </c>
    </row>
    <row r="392" spans="1:11" x14ac:dyDescent="0.25">
      <c r="A392" s="33" t="s">
        <v>105</v>
      </c>
      <c r="B392" s="33">
        <v>51</v>
      </c>
      <c r="C392" s="33" t="s">
        <v>42</v>
      </c>
      <c r="D392" s="33">
        <v>8</v>
      </c>
      <c r="E392" s="33" t="s">
        <v>22</v>
      </c>
      <c r="F392" s="33">
        <v>0</v>
      </c>
      <c r="G392" s="33" t="b">
        <v>0</v>
      </c>
      <c r="H392" s="33" t="s">
        <v>83</v>
      </c>
      <c r="I392" s="33">
        <v>68</v>
      </c>
      <c r="J392" s="33" t="str">
        <f t="shared" si="12"/>
        <v>Mid-to-Late Career</v>
      </c>
      <c r="K392" s="33" t="str">
        <f t="shared" si="13"/>
        <v>HC</v>
      </c>
    </row>
    <row r="393" spans="1:11" x14ac:dyDescent="0.25">
      <c r="A393" s="33" t="s">
        <v>492</v>
      </c>
      <c r="B393" s="33">
        <v>45</v>
      </c>
      <c r="C393" s="33" t="s">
        <v>43</v>
      </c>
      <c r="D393" s="33">
        <v>0</v>
      </c>
      <c r="E393" s="33" t="s">
        <v>22</v>
      </c>
      <c r="F393" s="33">
        <v>4</v>
      </c>
      <c r="G393" s="33" t="b">
        <v>0</v>
      </c>
      <c r="H393" s="33" t="s">
        <v>165</v>
      </c>
      <c r="I393" s="33">
        <v>92</v>
      </c>
      <c r="J393" s="33" t="str">
        <f t="shared" si="12"/>
        <v>Homemakers</v>
      </c>
      <c r="K393" s="33" t="str">
        <f t="shared" si="13"/>
        <v>NHC</v>
      </c>
    </row>
    <row r="394" spans="1:11" x14ac:dyDescent="0.25">
      <c r="A394" s="33" t="s">
        <v>493</v>
      </c>
      <c r="B394" s="33">
        <v>59</v>
      </c>
      <c r="C394" s="33" t="s">
        <v>44</v>
      </c>
      <c r="D394" s="33">
        <v>25</v>
      </c>
      <c r="E394" s="33" t="s">
        <v>11</v>
      </c>
      <c r="F394" s="33">
        <v>5</v>
      </c>
      <c r="G394" s="33" t="b">
        <v>0</v>
      </c>
      <c r="H394" s="33" t="s">
        <v>165</v>
      </c>
      <c r="I394" s="33">
        <v>92</v>
      </c>
      <c r="J394" s="33" t="str">
        <f t="shared" si="12"/>
        <v>Retirees</v>
      </c>
      <c r="K394" s="33" t="str">
        <f t="shared" si="13"/>
        <v>NHC</v>
      </c>
    </row>
    <row r="395" spans="1:11" x14ac:dyDescent="0.25">
      <c r="A395" s="33" t="s">
        <v>494</v>
      </c>
      <c r="B395" s="33">
        <v>30</v>
      </c>
      <c r="C395" s="33" t="s">
        <v>42</v>
      </c>
      <c r="D395" s="33">
        <v>3</v>
      </c>
      <c r="E395" s="33" t="s">
        <v>11</v>
      </c>
      <c r="F395" s="33">
        <v>3</v>
      </c>
      <c r="G395" s="33" t="b">
        <v>0</v>
      </c>
      <c r="H395" s="33" t="s">
        <v>83</v>
      </c>
      <c r="I395" s="33">
        <v>89</v>
      </c>
      <c r="J395" s="33" t="str">
        <f t="shared" si="12"/>
        <v>Young Professionals</v>
      </c>
      <c r="K395" s="33" t="str">
        <f t="shared" si="13"/>
        <v>HC</v>
      </c>
    </row>
    <row r="396" spans="1:11" x14ac:dyDescent="0.25">
      <c r="A396" s="33" t="s">
        <v>495</v>
      </c>
      <c r="B396" s="33">
        <v>25</v>
      </c>
      <c r="C396" s="33" t="s">
        <v>42</v>
      </c>
      <c r="D396" s="33">
        <v>5</v>
      </c>
      <c r="E396" s="33" t="s">
        <v>18</v>
      </c>
      <c r="F396" s="33">
        <v>0</v>
      </c>
      <c r="G396" s="33" t="b">
        <v>0</v>
      </c>
      <c r="H396" s="33" t="s">
        <v>83</v>
      </c>
      <c r="I396" s="33">
        <v>93</v>
      </c>
      <c r="J396" s="33" t="str">
        <f t="shared" si="12"/>
        <v>Young Professionals</v>
      </c>
      <c r="K396" s="33" t="str">
        <f t="shared" si="13"/>
        <v>HC</v>
      </c>
    </row>
    <row r="397" spans="1:11" x14ac:dyDescent="0.25">
      <c r="A397" s="33" t="s">
        <v>496</v>
      </c>
      <c r="B397" s="33">
        <v>24</v>
      </c>
      <c r="C397" s="33" t="s">
        <v>43</v>
      </c>
      <c r="D397" s="33">
        <v>8</v>
      </c>
      <c r="E397" s="33" t="s">
        <v>16</v>
      </c>
      <c r="F397" s="33">
        <v>5</v>
      </c>
      <c r="G397" s="33" t="b">
        <v>1</v>
      </c>
      <c r="H397" s="33" t="s">
        <v>165</v>
      </c>
      <c r="I397" s="33">
        <v>95</v>
      </c>
      <c r="J397" s="33" t="str">
        <f t="shared" si="12"/>
        <v>Homemakers</v>
      </c>
      <c r="K397" s="33" t="str">
        <f t="shared" si="13"/>
        <v>NHC</v>
      </c>
    </row>
    <row r="398" spans="1:11" x14ac:dyDescent="0.25">
      <c r="A398" s="33" t="s">
        <v>497</v>
      </c>
      <c r="B398" s="33">
        <v>53</v>
      </c>
      <c r="C398" s="33" t="s">
        <v>43</v>
      </c>
      <c r="D398" s="33">
        <v>21</v>
      </c>
      <c r="E398" s="33" t="s">
        <v>20</v>
      </c>
      <c r="F398" s="33">
        <v>4</v>
      </c>
      <c r="G398" s="33" t="b">
        <v>0</v>
      </c>
      <c r="H398" s="33" t="s">
        <v>165</v>
      </c>
      <c r="I398" s="33">
        <v>95</v>
      </c>
      <c r="J398" s="33" t="str">
        <f t="shared" si="12"/>
        <v>Homemakers</v>
      </c>
      <c r="K398" s="33" t="str">
        <f t="shared" si="13"/>
        <v>NHC</v>
      </c>
    </row>
    <row r="399" spans="1:11" x14ac:dyDescent="0.25">
      <c r="A399" s="33" t="s">
        <v>104</v>
      </c>
      <c r="B399" s="33">
        <v>32</v>
      </c>
      <c r="C399" s="33" t="s">
        <v>42</v>
      </c>
      <c r="D399" s="33">
        <v>10</v>
      </c>
      <c r="E399" s="33" t="s">
        <v>11</v>
      </c>
      <c r="F399" s="33">
        <v>2</v>
      </c>
      <c r="G399" s="33" t="b">
        <v>0</v>
      </c>
      <c r="H399" s="33" t="s">
        <v>83</v>
      </c>
      <c r="I399" s="33">
        <v>83</v>
      </c>
      <c r="J399" s="33" t="str">
        <f t="shared" si="12"/>
        <v>Mid-to-Late Career</v>
      </c>
      <c r="K399" s="33" t="str">
        <f t="shared" si="13"/>
        <v>NHC</v>
      </c>
    </row>
    <row r="400" spans="1:11" x14ac:dyDescent="0.25">
      <c r="A400" s="33" t="s">
        <v>498</v>
      </c>
      <c r="B400" s="33">
        <v>26</v>
      </c>
      <c r="C400" s="33" t="s">
        <v>42</v>
      </c>
      <c r="D400" s="33">
        <v>2</v>
      </c>
      <c r="E400" s="33" t="s">
        <v>10</v>
      </c>
      <c r="F400" s="33">
        <v>2</v>
      </c>
      <c r="G400" s="33" t="b">
        <v>0</v>
      </c>
      <c r="H400" s="33" t="s">
        <v>83</v>
      </c>
      <c r="I400" s="33">
        <v>93</v>
      </c>
      <c r="J400" s="33" t="str">
        <f t="shared" si="12"/>
        <v>Young Professionals</v>
      </c>
      <c r="K400" s="33" t="str">
        <f t="shared" si="13"/>
        <v>HC</v>
      </c>
    </row>
    <row r="401" spans="1:11" x14ac:dyDescent="0.25">
      <c r="A401" s="33" t="s">
        <v>499</v>
      </c>
      <c r="B401" s="33">
        <v>23</v>
      </c>
      <c r="C401" s="33" t="s">
        <v>42</v>
      </c>
      <c r="D401" s="33">
        <v>4</v>
      </c>
      <c r="E401" s="33" t="s">
        <v>11</v>
      </c>
      <c r="F401" s="33">
        <v>2</v>
      </c>
      <c r="G401" s="33" t="b">
        <v>0</v>
      </c>
      <c r="H401" s="33" t="s">
        <v>83</v>
      </c>
      <c r="I401" s="33">
        <v>91</v>
      </c>
      <c r="J401" s="33" t="str">
        <f t="shared" si="12"/>
        <v>Young Professionals</v>
      </c>
      <c r="K401" s="33" t="str">
        <f t="shared" si="13"/>
        <v>NHC</v>
      </c>
    </row>
    <row r="402" spans="1:11" x14ac:dyDescent="0.25">
      <c r="A402" s="33" t="s">
        <v>500</v>
      </c>
      <c r="B402" s="33">
        <v>22</v>
      </c>
      <c r="C402" s="33" t="s">
        <v>42</v>
      </c>
      <c r="D402" s="33">
        <v>3</v>
      </c>
      <c r="E402" s="33" t="s">
        <v>11</v>
      </c>
      <c r="F402" s="33">
        <v>4</v>
      </c>
      <c r="G402" s="33" t="b">
        <v>0</v>
      </c>
      <c r="H402" s="33" t="s">
        <v>83</v>
      </c>
      <c r="I402" s="33">
        <v>89</v>
      </c>
      <c r="J402" s="33" t="str">
        <f t="shared" si="12"/>
        <v>Young Professionals</v>
      </c>
      <c r="K402" s="33" t="str">
        <f t="shared" si="13"/>
        <v>HC</v>
      </c>
    </row>
    <row r="403" spans="1:11" x14ac:dyDescent="0.25">
      <c r="A403" s="33" t="s">
        <v>501</v>
      </c>
      <c r="B403" s="33">
        <v>29</v>
      </c>
      <c r="C403" s="33" t="s">
        <v>42</v>
      </c>
      <c r="D403" s="33">
        <v>5</v>
      </c>
      <c r="E403" s="33" t="s">
        <v>22</v>
      </c>
      <c r="F403" s="33">
        <v>1</v>
      </c>
      <c r="G403" s="33" t="b">
        <v>0</v>
      </c>
      <c r="H403" s="33" t="s">
        <v>83</v>
      </c>
      <c r="I403" s="33">
        <v>95</v>
      </c>
      <c r="J403" s="33" t="str">
        <f t="shared" si="12"/>
        <v>Young Professionals</v>
      </c>
      <c r="K403" s="33" t="str">
        <f t="shared" si="13"/>
        <v>HC</v>
      </c>
    </row>
    <row r="404" spans="1:11" x14ac:dyDescent="0.25">
      <c r="A404" s="33" t="s">
        <v>502</v>
      </c>
      <c r="B404" s="33">
        <v>25</v>
      </c>
      <c r="C404" s="33" t="s">
        <v>43</v>
      </c>
      <c r="D404" s="33">
        <v>4</v>
      </c>
      <c r="E404" s="33" t="s">
        <v>22</v>
      </c>
      <c r="F404" s="33">
        <v>4</v>
      </c>
      <c r="G404" s="33" t="b">
        <v>0</v>
      </c>
      <c r="H404" s="33" t="s">
        <v>165</v>
      </c>
      <c r="I404" s="33">
        <v>96</v>
      </c>
      <c r="J404" s="33" t="str">
        <f t="shared" si="12"/>
        <v>Homemakers</v>
      </c>
      <c r="K404" s="33" t="str">
        <f t="shared" si="13"/>
        <v>NHC</v>
      </c>
    </row>
    <row r="405" spans="1:11" x14ac:dyDescent="0.25">
      <c r="A405" s="33" t="s">
        <v>503</v>
      </c>
      <c r="B405" s="33">
        <v>23</v>
      </c>
      <c r="C405" s="33" t="s">
        <v>42</v>
      </c>
      <c r="D405" s="33">
        <v>0</v>
      </c>
      <c r="E405" s="33" t="s">
        <v>14</v>
      </c>
      <c r="F405" s="33">
        <v>1</v>
      </c>
      <c r="G405" s="33" t="b">
        <v>0</v>
      </c>
      <c r="H405" s="33" t="s">
        <v>83</v>
      </c>
      <c r="I405" s="33">
        <v>95</v>
      </c>
      <c r="J405" s="33" t="str">
        <f t="shared" si="12"/>
        <v>Young Professionals</v>
      </c>
      <c r="K405" s="33" t="str">
        <f t="shared" si="13"/>
        <v>NHC</v>
      </c>
    </row>
    <row r="406" spans="1:11" x14ac:dyDescent="0.25">
      <c r="A406" s="33" t="s">
        <v>504</v>
      </c>
      <c r="B406" s="33">
        <v>58</v>
      </c>
      <c r="C406" s="33" t="s">
        <v>43</v>
      </c>
      <c r="D406" s="33">
        <v>20</v>
      </c>
      <c r="E406" s="33" t="s">
        <v>13</v>
      </c>
      <c r="F406" s="33">
        <v>4</v>
      </c>
      <c r="G406" s="33" t="b">
        <v>0</v>
      </c>
      <c r="H406" s="33" t="s">
        <v>165</v>
      </c>
      <c r="I406" s="33">
        <v>97</v>
      </c>
      <c r="J406" s="33" t="str">
        <f t="shared" si="12"/>
        <v>Homemakers</v>
      </c>
      <c r="K406" s="33" t="str">
        <f t="shared" si="13"/>
        <v>NHC</v>
      </c>
    </row>
    <row r="407" spans="1:11" x14ac:dyDescent="0.25">
      <c r="A407" s="33" t="s">
        <v>505</v>
      </c>
      <c r="B407" s="33">
        <v>29</v>
      </c>
      <c r="C407" s="33" t="s">
        <v>43</v>
      </c>
      <c r="D407" s="33">
        <v>12</v>
      </c>
      <c r="E407" s="33" t="s">
        <v>22</v>
      </c>
      <c r="F407" s="33">
        <v>5</v>
      </c>
      <c r="G407" s="33" t="b">
        <v>1</v>
      </c>
      <c r="H407" s="33" t="s">
        <v>165</v>
      </c>
      <c r="I407" s="33">
        <v>92</v>
      </c>
      <c r="J407" s="33" t="str">
        <f t="shared" si="12"/>
        <v>Homemakers</v>
      </c>
      <c r="K407" s="33" t="str">
        <f t="shared" si="13"/>
        <v>NHC</v>
      </c>
    </row>
    <row r="408" spans="1:11" x14ac:dyDescent="0.25">
      <c r="A408" s="33" t="s">
        <v>506</v>
      </c>
      <c r="B408" s="33">
        <v>29</v>
      </c>
      <c r="C408" s="33" t="s">
        <v>42</v>
      </c>
      <c r="D408" s="33">
        <v>0</v>
      </c>
      <c r="E408" s="33" t="s">
        <v>13</v>
      </c>
      <c r="F408" s="33">
        <v>2</v>
      </c>
      <c r="G408" s="33" t="b">
        <v>0</v>
      </c>
      <c r="H408" s="33" t="s">
        <v>83</v>
      </c>
      <c r="I408" s="33">
        <v>93</v>
      </c>
      <c r="J408" s="33" t="str">
        <f t="shared" si="12"/>
        <v>Young Professionals</v>
      </c>
      <c r="K408" s="33" t="str">
        <f t="shared" si="13"/>
        <v>NHC</v>
      </c>
    </row>
    <row r="409" spans="1:11" x14ac:dyDescent="0.25">
      <c r="A409" s="33" t="s">
        <v>103</v>
      </c>
      <c r="B409" s="33">
        <v>40</v>
      </c>
      <c r="C409" s="33" t="s">
        <v>42</v>
      </c>
      <c r="D409" s="33">
        <v>12</v>
      </c>
      <c r="E409" s="33" t="s">
        <v>14</v>
      </c>
      <c r="F409" s="33">
        <v>1</v>
      </c>
      <c r="G409" s="33" t="b">
        <v>0</v>
      </c>
      <c r="H409" s="33" t="s">
        <v>83</v>
      </c>
      <c r="I409" s="33">
        <v>68</v>
      </c>
      <c r="J409" s="33" t="str">
        <f t="shared" si="12"/>
        <v>Mid-to-Late Career</v>
      </c>
      <c r="K409" s="33" t="str">
        <f t="shared" si="13"/>
        <v>NHC</v>
      </c>
    </row>
    <row r="410" spans="1:11" x14ac:dyDescent="0.25">
      <c r="A410" s="33" t="s">
        <v>507</v>
      </c>
      <c r="B410" s="33">
        <v>25</v>
      </c>
      <c r="C410" s="33" t="s">
        <v>42</v>
      </c>
      <c r="D410" s="33">
        <v>5</v>
      </c>
      <c r="E410" s="33" t="s">
        <v>13</v>
      </c>
      <c r="F410" s="33">
        <v>1</v>
      </c>
      <c r="G410" s="33" t="b">
        <v>0</v>
      </c>
      <c r="H410" s="33" t="s">
        <v>83</v>
      </c>
      <c r="I410" s="33">
        <v>95</v>
      </c>
      <c r="J410" s="33" t="str">
        <f t="shared" si="12"/>
        <v>Young Professionals</v>
      </c>
      <c r="K410" s="33" t="str">
        <f t="shared" si="13"/>
        <v>NHC</v>
      </c>
    </row>
    <row r="411" spans="1:11" x14ac:dyDescent="0.25">
      <c r="A411" s="33" t="s">
        <v>508</v>
      </c>
      <c r="B411" s="33">
        <v>23</v>
      </c>
      <c r="C411" s="33" t="s">
        <v>42</v>
      </c>
      <c r="D411" s="33">
        <v>4</v>
      </c>
      <c r="E411" s="33" t="s">
        <v>11</v>
      </c>
      <c r="F411" s="33">
        <v>4</v>
      </c>
      <c r="G411" s="33" t="b">
        <v>0</v>
      </c>
      <c r="H411" s="33" t="s">
        <v>83</v>
      </c>
      <c r="I411" s="33">
        <v>93</v>
      </c>
      <c r="J411" s="33" t="str">
        <f t="shared" si="12"/>
        <v>Young Professionals</v>
      </c>
      <c r="K411" s="33" t="str">
        <f t="shared" si="13"/>
        <v>NHC</v>
      </c>
    </row>
    <row r="412" spans="1:11" x14ac:dyDescent="0.25">
      <c r="A412" s="33" t="s">
        <v>509</v>
      </c>
      <c r="B412" s="33">
        <v>19</v>
      </c>
      <c r="C412" s="33" t="s">
        <v>1</v>
      </c>
      <c r="D412" s="33">
        <v>2</v>
      </c>
      <c r="E412" s="33" t="s">
        <v>23</v>
      </c>
      <c r="F412" s="33">
        <v>3</v>
      </c>
      <c r="G412" s="33" t="b">
        <v>1</v>
      </c>
      <c r="H412" s="33" t="s">
        <v>159</v>
      </c>
      <c r="I412" s="33">
        <v>86</v>
      </c>
      <c r="J412" s="33" t="str">
        <f t="shared" si="12"/>
        <v>Students</v>
      </c>
      <c r="K412" s="33" t="str">
        <f t="shared" si="13"/>
        <v>HC</v>
      </c>
    </row>
    <row r="413" spans="1:11" x14ac:dyDescent="0.25">
      <c r="A413" s="33" t="s">
        <v>510</v>
      </c>
      <c r="B413" s="33">
        <v>19</v>
      </c>
      <c r="C413" s="33" t="s">
        <v>1</v>
      </c>
      <c r="D413" s="33">
        <v>2</v>
      </c>
      <c r="E413" s="33" t="s">
        <v>11</v>
      </c>
      <c r="F413" s="33">
        <v>5</v>
      </c>
      <c r="G413" s="33" t="b">
        <v>1</v>
      </c>
      <c r="H413" s="33" t="s">
        <v>159</v>
      </c>
      <c r="I413" s="33">
        <v>91</v>
      </c>
      <c r="J413" s="33" t="str">
        <f t="shared" si="12"/>
        <v>Students</v>
      </c>
      <c r="K413" s="33" t="str">
        <f t="shared" si="13"/>
        <v>NHC</v>
      </c>
    </row>
    <row r="414" spans="1:11" x14ac:dyDescent="0.25">
      <c r="A414" s="33" t="s">
        <v>511</v>
      </c>
      <c r="B414" s="33">
        <v>28</v>
      </c>
      <c r="C414" s="33" t="s">
        <v>42</v>
      </c>
      <c r="D414" s="33">
        <v>5</v>
      </c>
      <c r="E414" s="33" t="s">
        <v>11</v>
      </c>
      <c r="F414" s="33">
        <v>4</v>
      </c>
      <c r="G414" s="33" t="b">
        <v>0</v>
      </c>
      <c r="H414" s="33" t="s">
        <v>83</v>
      </c>
      <c r="I414" s="33">
        <v>89</v>
      </c>
      <c r="J414" s="33" t="str">
        <f t="shared" si="12"/>
        <v>Young Professionals</v>
      </c>
      <c r="K414" s="33" t="str">
        <f t="shared" si="13"/>
        <v>HC</v>
      </c>
    </row>
    <row r="415" spans="1:11" x14ac:dyDescent="0.25">
      <c r="A415" s="33" t="s">
        <v>512</v>
      </c>
      <c r="B415" s="33">
        <v>64</v>
      </c>
      <c r="C415" s="33" t="s">
        <v>44</v>
      </c>
      <c r="D415" s="33">
        <v>29</v>
      </c>
      <c r="E415" s="33" t="s">
        <v>11</v>
      </c>
      <c r="F415" s="33">
        <v>6</v>
      </c>
      <c r="G415" s="33" t="b">
        <v>0</v>
      </c>
      <c r="H415" s="33" t="s">
        <v>165</v>
      </c>
      <c r="I415" s="33">
        <v>91</v>
      </c>
      <c r="J415" s="33" t="str">
        <f t="shared" si="12"/>
        <v>Retirees</v>
      </c>
      <c r="K415" s="33" t="str">
        <f t="shared" si="13"/>
        <v>HC</v>
      </c>
    </row>
    <row r="416" spans="1:11" x14ac:dyDescent="0.25">
      <c r="A416" s="33" t="s">
        <v>513</v>
      </c>
      <c r="B416" s="33">
        <v>19</v>
      </c>
      <c r="C416" s="33" t="s">
        <v>1</v>
      </c>
      <c r="D416" s="33">
        <v>1</v>
      </c>
      <c r="E416" s="33" t="s">
        <v>13</v>
      </c>
      <c r="F416" s="33">
        <v>4</v>
      </c>
      <c r="G416" s="33" t="b">
        <v>1</v>
      </c>
      <c r="H416" s="33" t="s">
        <v>159</v>
      </c>
      <c r="I416" s="33">
        <v>83</v>
      </c>
      <c r="J416" s="33" t="str">
        <f t="shared" si="12"/>
        <v>Students</v>
      </c>
      <c r="K416" s="33" t="str">
        <f t="shared" si="13"/>
        <v>HC</v>
      </c>
    </row>
    <row r="417" spans="1:11" x14ac:dyDescent="0.25">
      <c r="A417" s="33" t="s">
        <v>514</v>
      </c>
      <c r="B417" s="33">
        <v>30</v>
      </c>
      <c r="C417" s="33" t="s">
        <v>42</v>
      </c>
      <c r="D417" s="33">
        <v>5</v>
      </c>
      <c r="E417" s="33" t="s">
        <v>13</v>
      </c>
      <c r="F417" s="33">
        <v>1</v>
      </c>
      <c r="G417" s="33" t="b">
        <v>0</v>
      </c>
      <c r="H417" s="33" t="s">
        <v>83</v>
      </c>
      <c r="I417" s="33">
        <v>91</v>
      </c>
      <c r="J417" s="33" t="str">
        <f t="shared" si="12"/>
        <v>Young Professionals</v>
      </c>
      <c r="K417" s="33" t="str">
        <f t="shared" si="13"/>
        <v>NHC</v>
      </c>
    </row>
    <row r="418" spans="1:11" x14ac:dyDescent="0.25">
      <c r="A418" s="33" t="s">
        <v>515</v>
      </c>
      <c r="B418" s="33">
        <v>23</v>
      </c>
      <c r="C418" s="33" t="s">
        <v>42</v>
      </c>
      <c r="D418" s="33">
        <v>1</v>
      </c>
      <c r="E418" s="33" t="s">
        <v>16</v>
      </c>
      <c r="F418" s="33">
        <v>0</v>
      </c>
      <c r="G418" s="33" t="b">
        <v>0</v>
      </c>
      <c r="H418" s="33" t="s">
        <v>83</v>
      </c>
      <c r="I418" s="33">
        <v>89</v>
      </c>
      <c r="J418" s="33" t="str">
        <f t="shared" si="12"/>
        <v>Young Professionals</v>
      </c>
      <c r="K418" s="33" t="str">
        <f t="shared" si="13"/>
        <v>NHC</v>
      </c>
    </row>
    <row r="419" spans="1:11" x14ac:dyDescent="0.25">
      <c r="A419" s="33" t="s">
        <v>516</v>
      </c>
      <c r="B419" s="33">
        <v>20</v>
      </c>
      <c r="C419" s="33" t="s">
        <v>1</v>
      </c>
      <c r="D419" s="33">
        <v>1</v>
      </c>
      <c r="E419" s="33" t="s">
        <v>11</v>
      </c>
      <c r="F419" s="33">
        <v>3</v>
      </c>
      <c r="G419" s="33" t="b">
        <v>1</v>
      </c>
      <c r="H419" s="33" t="s">
        <v>159</v>
      </c>
      <c r="I419" s="33">
        <v>93</v>
      </c>
      <c r="J419" s="33" t="str">
        <f t="shared" si="12"/>
        <v>Students</v>
      </c>
      <c r="K419" s="33" t="str">
        <f t="shared" si="13"/>
        <v>NHC</v>
      </c>
    </row>
    <row r="420" spans="1:11" x14ac:dyDescent="0.25">
      <c r="A420" s="33" t="s">
        <v>517</v>
      </c>
      <c r="B420" s="33">
        <v>19</v>
      </c>
      <c r="C420" s="33" t="s">
        <v>1</v>
      </c>
      <c r="D420" s="33">
        <v>1</v>
      </c>
      <c r="E420" s="33" t="s">
        <v>11</v>
      </c>
      <c r="F420" s="33">
        <v>5</v>
      </c>
      <c r="G420" s="33" t="b">
        <v>1</v>
      </c>
      <c r="H420" s="33" t="s">
        <v>159</v>
      </c>
      <c r="I420" s="33">
        <v>89</v>
      </c>
      <c r="J420" s="33" t="str">
        <f t="shared" si="12"/>
        <v>Students</v>
      </c>
      <c r="K420" s="33" t="str">
        <f t="shared" si="13"/>
        <v>HC</v>
      </c>
    </row>
    <row r="421" spans="1:11" x14ac:dyDescent="0.25">
      <c r="A421" s="33" t="s">
        <v>102</v>
      </c>
      <c r="B421" s="33">
        <v>32</v>
      </c>
      <c r="C421" s="33" t="s">
        <v>42</v>
      </c>
      <c r="D421" s="33">
        <v>11</v>
      </c>
      <c r="E421" s="33" t="s">
        <v>16</v>
      </c>
      <c r="F421" s="33">
        <v>1</v>
      </c>
      <c r="G421" s="33" t="b">
        <v>0</v>
      </c>
      <c r="H421" s="33" t="s">
        <v>83</v>
      </c>
      <c r="I421" s="33">
        <v>73</v>
      </c>
      <c r="J421" s="33" t="str">
        <f t="shared" si="12"/>
        <v>Mid-to-Late Career</v>
      </c>
      <c r="K421" s="33" t="str">
        <f t="shared" si="13"/>
        <v>HC</v>
      </c>
    </row>
    <row r="422" spans="1:11" x14ac:dyDescent="0.25">
      <c r="A422" s="33" t="s">
        <v>518</v>
      </c>
      <c r="B422" s="33">
        <v>19</v>
      </c>
      <c r="C422" s="33" t="s">
        <v>1</v>
      </c>
      <c r="D422" s="33">
        <v>0</v>
      </c>
      <c r="E422" s="33" t="s">
        <v>11</v>
      </c>
      <c r="F422" s="33">
        <v>4</v>
      </c>
      <c r="G422" s="33" t="b">
        <v>1</v>
      </c>
      <c r="H422" s="33" t="s">
        <v>159</v>
      </c>
      <c r="I422" s="33">
        <v>91</v>
      </c>
      <c r="J422" s="33" t="str">
        <f t="shared" si="12"/>
        <v>Students</v>
      </c>
      <c r="K422" s="33" t="str">
        <f t="shared" si="13"/>
        <v>NHC</v>
      </c>
    </row>
    <row r="423" spans="1:11" x14ac:dyDescent="0.25">
      <c r="A423" s="33" t="s">
        <v>519</v>
      </c>
      <c r="B423" s="33">
        <v>19</v>
      </c>
      <c r="C423" s="33" t="s">
        <v>43</v>
      </c>
      <c r="D423" s="33">
        <v>2</v>
      </c>
      <c r="E423" s="33" t="s">
        <v>18</v>
      </c>
      <c r="F423" s="33">
        <v>3</v>
      </c>
      <c r="G423" s="33" t="b">
        <v>0</v>
      </c>
      <c r="H423" s="33" t="s">
        <v>165</v>
      </c>
      <c r="I423" s="33">
        <v>97</v>
      </c>
      <c r="J423" s="33" t="str">
        <f t="shared" si="12"/>
        <v>Homemakers</v>
      </c>
      <c r="K423" s="33" t="str">
        <f t="shared" si="13"/>
        <v>HC</v>
      </c>
    </row>
    <row r="424" spans="1:11" x14ac:dyDescent="0.25">
      <c r="A424" s="33" t="s">
        <v>520</v>
      </c>
      <c r="B424" s="33">
        <v>40</v>
      </c>
      <c r="C424" s="33" t="s">
        <v>43</v>
      </c>
      <c r="D424" s="33">
        <v>23</v>
      </c>
      <c r="E424" s="33" t="s">
        <v>13</v>
      </c>
      <c r="F424" s="33">
        <v>4</v>
      </c>
      <c r="G424" s="33" t="b">
        <v>0</v>
      </c>
      <c r="H424" s="33" t="s">
        <v>165</v>
      </c>
      <c r="I424" s="33">
        <v>94</v>
      </c>
      <c r="J424" s="33" t="str">
        <f t="shared" si="12"/>
        <v>Homemakers</v>
      </c>
      <c r="K424" s="33" t="str">
        <f t="shared" si="13"/>
        <v>NHC</v>
      </c>
    </row>
    <row r="425" spans="1:11" x14ac:dyDescent="0.25">
      <c r="A425" s="33" t="s">
        <v>521</v>
      </c>
      <c r="B425" s="33">
        <v>18</v>
      </c>
      <c r="C425" s="33" t="s">
        <v>1</v>
      </c>
      <c r="D425" s="33">
        <v>0</v>
      </c>
      <c r="E425" s="33" t="s">
        <v>11</v>
      </c>
      <c r="F425" s="33">
        <v>5</v>
      </c>
      <c r="G425" s="33" t="b">
        <v>1</v>
      </c>
      <c r="H425" s="33" t="s">
        <v>159</v>
      </c>
      <c r="I425" s="33">
        <v>93</v>
      </c>
      <c r="J425" s="33" t="str">
        <f t="shared" si="12"/>
        <v>Students</v>
      </c>
      <c r="K425" s="33" t="str">
        <f t="shared" si="13"/>
        <v>NHC</v>
      </c>
    </row>
    <row r="426" spans="1:11" x14ac:dyDescent="0.25">
      <c r="A426" s="33" t="s">
        <v>522</v>
      </c>
      <c r="B426" s="33">
        <v>72</v>
      </c>
      <c r="C426" s="33" t="s">
        <v>44</v>
      </c>
      <c r="D426" s="33">
        <v>38</v>
      </c>
      <c r="E426" s="33" t="s">
        <v>20</v>
      </c>
      <c r="F426" s="33">
        <v>5</v>
      </c>
      <c r="G426" s="33" t="b">
        <v>1</v>
      </c>
      <c r="H426" s="33" t="s">
        <v>165</v>
      </c>
      <c r="I426" s="33">
        <v>86</v>
      </c>
      <c r="J426" s="33" t="str">
        <f t="shared" si="12"/>
        <v>Retirees</v>
      </c>
      <c r="K426" s="33" t="str">
        <f t="shared" si="13"/>
        <v>HC</v>
      </c>
    </row>
    <row r="427" spans="1:11" x14ac:dyDescent="0.25">
      <c r="A427" s="33" t="s">
        <v>523</v>
      </c>
      <c r="B427" s="33">
        <v>19</v>
      </c>
      <c r="C427" s="33" t="s">
        <v>1</v>
      </c>
      <c r="D427" s="33">
        <v>1</v>
      </c>
      <c r="E427" s="33" t="s">
        <v>11</v>
      </c>
      <c r="F427" s="33">
        <v>4</v>
      </c>
      <c r="G427" s="33" t="b">
        <v>1</v>
      </c>
      <c r="H427" s="33" t="s">
        <v>159</v>
      </c>
      <c r="I427" s="33">
        <v>87</v>
      </c>
      <c r="J427" s="33" t="str">
        <f t="shared" si="12"/>
        <v>Students</v>
      </c>
      <c r="K427" s="33" t="str">
        <f t="shared" si="13"/>
        <v>NHC</v>
      </c>
    </row>
    <row r="428" spans="1:11" x14ac:dyDescent="0.25">
      <c r="A428" s="33" t="s">
        <v>524</v>
      </c>
      <c r="B428" s="33">
        <v>22</v>
      </c>
      <c r="C428" s="33" t="s">
        <v>42</v>
      </c>
      <c r="D428" s="33">
        <v>2</v>
      </c>
      <c r="E428" s="33" t="s">
        <v>11</v>
      </c>
      <c r="F428" s="33">
        <v>2</v>
      </c>
      <c r="G428" s="33" t="b">
        <v>0</v>
      </c>
      <c r="H428" s="33" t="s">
        <v>83</v>
      </c>
      <c r="I428" s="33">
        <v>91</v>
      </c>
      <c r="J428" s="33" t="str">
        <f t="shared" si="12"/>
        <v>Young Professionals</v>
      </c>
      <c r="K428" s="33" t="str">
        <f t="shared" si="13"/>
        <v>HC</v>
      </c>
    </row>
    <row r="429" spans="1:11" x14ac:dyDescent="0.25">
      <c r="A429" s="33" t="s">
        <v>525</v>
      </c>
      <c r="B429" s="33">
        <v>21</v>
      </c>
      <c r="C429" s="33" t="s">
        <v>1</v>
      </c>
      <c r="D429" s="33">
        <v>0</v>
      </c>
      <c r="E429" s="33" t="s">
        <v>11</v>
      </c>
      <c r="F429" s="33">
        <v>3</v>
      </c>
      <c r="G429" s="33" t="b">
        <v>1</v>
      </c>
      <c r="H429" s="33" t="s">
        <v>159</v>
      </c>
      <c r="I429" s="33">
        <v>88</v>
      </c>
      <c r="J429" s="33" t="str">
        <f t="shared" si="12"/>
        <v>Students</v>
      </c>
      <c r="K429" s="33" t="str">
        <f t="shared" si="13"/>
        <v>HC</v>
      </c>
    </row>
    <row r="430" spans="1:11" x14ac:dyDescent="0.25">
      <c r="A430" s="33" t="s">
        <v>526</v>
      </c>
      <c r="B430" s="33">
        <v>22</v>
      </c>
      <c r="C430" s="33" t="s">
        <v>42</v>
      </c>
      <c r="D430" s="33">
        <v>3</v>
      </c>
      <c r="E430" s="33" t="s">
        <v>22</v>
      </c>
      <c r="F430" s="33">
        <v>0</v>
      </c>
      <c r="G430" s="33" t="b">
        <v>0</v>
      </c>
      <c r="H430" s="33" t="s">
        <v>83</v>
      </c>
      <c r="I430" s="33">
        <v>90</v>
      </c>
      <c r="J430" s="33" t="str">
        <f t="shared" si="12"/>
        <v>Young Professionals</v>
      </c>
      <c r="K430" s="33" t="str">
        <f t="shared" si="13"/>
        <v>HC</v>
      </c>
    </row>
    <row r="431" spans="1:11" x14ac:dyDescent="0.25">
      <c r="A431" s="33" t="s">
        <v>527</v>
      </c>
      <c r="B431" s="33">
        <v>23</v>
      </c>
      <c r="C431" s="33" t="s">
        <v>43</v>
      </c>
      <c r="D431" s="33">
        <v>6</v>
      </c>
      <c r="E431" s="33" t="s">
        <v>20</v>
      </c>
      <c r="F431" s="33">
        <v>3</v>
      </c>
      <c r="G431" s="33" t="b">
        <v>1</v>
      </c>
      <c r="H431" s="33" t="s">
        <v>165</v>
      </c>
      <c r="I431" s="33">
        <v>97</v>
      </c>
      <c r="J431" s="33" t="str">
        <f t="shared" si="12"/>
        <v>Homemakers</v>
      </c>
      <c r="K431" s="33" t="str">
        <f t="shared" si="13"/>
        <v>NHC</v>
      </c>
    </row>
    <row r="432" spans="1:11" x14ac:dyDescent="0.25">
      <c r="A432" s="33" t="s">
        <v>101</v>
      </c>
      <c r="B432" s="33">
        <v>47</v>
      </c>
      <c r="C432" s="33" t="s">
        <v>42</v>
      </c>
      <c r="D432" s="33">
        <v>14</v>
      </c>
      <c r="E432" s="33" t="s">
        <v>13</v>
      </c>
      <c r="F432" s="33">
        <v>2</v>
      </c>
      <c r="G432" s="33" t="b">
        <v>1</v>
      </c>
      <c r="H432" s="33" t="s">
        <v>83</v>
      </c>
      <c r="I432" s="33">
        <v>71</v>
      </c>
      <c r="J432" s="33" t="str">
        <f t="shared" si="12"/>
        <v>Mid-to-Late Career</v>
      </c>
      <c r="K432" s="33" t="str">
        <f t="shared" si="13"/>
        <v>NHC</v>
      </c>
    </row>
    <row r="433" spans="1:11" x14ac:dyDescent="0.25">
      <c r="A433" s="33" t="s">
        <v>528</v>
      </c>
      <c r="B433" s="33">
        <v>18</v>
      </c>
      <c r="C433" s="33" t="s">
        <v>1</v>
      </c>
      <c r="D433" s="33">
        <v>1</v>
      </c>
      <c r="E433" s="33" t="s">
        <v>11</v>
      </c>
      <c r="F433" s="33">
        <v>3</v>
      </c>
      <c r="G433" s="33" t="b">
        <v>1</v>
      </c>
      <c r="H433" s="33" t="s">
        <v>159</v>
      </c>
      <c r="I433" s="33">
        <v>89</v>
      </c>
      <c r="J433" s="33" t="str">
        <f t="shared" si="12"/>
        <v>Students</v>
      </c>
      <c r="K433" s="33" t="str">
        <f t="shared" si="13"/>
        <v>NHC</v>
      </c>
    </row>
    <row r="434" spans="1:11" x14ac:dyDescent="0.25">
      <c r="A434" s="33" t="s">
        <v>100</v>
      </c>
      <c r="B434" s="33">
        <v>38</v>
      </c>
      <c r="C434" s="33" t="s">
        <v>42</v>
      </c>
      <c r="D434" s="33">
        <v>22</v>
      </c>
      <c r="E434" s="33" t="s">
        <v>11</v>
      </c>
      <c r="F434" s="33">
        <v>1</v>
      </c>
      <c r="G434" s="33" t="b">
        <v>0</v>
      </c>
      <c r="H434" s="33" t="s">
        <v>83</v>
      </c>
      <c r="I434" s="33">
        <v>82</v>
      </c>
      <c r="J434" s="33" t="str">
        <f t="shared" si="12"/>
        <v>Mid-to-Late Career</v>
      </c>
      <c r="K434" s="33" t="str">
        <f t="shared" si="13"/>
        <v>HC</v>
      </c>
    </row>
    <row r="435" spans="1:11" x14ac:dyDescent="0.25">
      <c r="A435" s="33" t="s">
        <v>529</v>
      </c>
      <c r="B435" s="33">
        <v>19</v>
      </c>
      <c r="C435" s="33" t="s">
        <v>43</v>
      </c>
      <c r="D435" s="33">
        <v>2</v>
      </c>
      <c r="E435" s="33" t="s">
        <v>13</v>
      </c>
      <c r="F435" s="33">
        <v>5</v>
      </c>
      <c r="G435" s="33" t="b">
        <v>0</v>
      </c>
      <c r="H435" s="33" t="s">
        <v>165</v>
      </c>
      <c r="I435" s="33">
        <v>93</v>
      </c>
      <c r="J435" s="33" t="str">
        <f t="shared" si="12"/>
        <v>Homemakers</v>
      </c>
      <c r="K435" s="33" t="str">
        <f t="shared" si="13"/>
        <v>HC</v>
      </c>
    </row>
    <row r="436" spans="1:11" x14ac:dyDescent="0.25">
      <c r="A436" s="33" t="s">
        <v>530</v>
      </c>
      <c r="B436" s="33">
        <v>19</v>
      </c>
      <c r="C436" s="33" t="s">
        <v>1</v>
      </c>
      <c r="D436" s="33">
        <v>2</v>
      </c>
      <c r="E436" s="33" t="s">
        <v>11</v>
      </c>
      <c r="F436" s="33">
        <v>4</v>
      </c>
      <c r="G436" s="33" t="b">
        <v>1</v>
      </c>
      <c r="H436" s="33" t="s">
        <v>159</v>
      </c>
      <c r="I436" s="33">
        <v>90</v>
      </c>
      <c r="J436" s="33" t="str">
        <f t="shared" si="12"/>
        <v>Students</v>
      </c>
      <c r="K436" s="33" t="str">
        <f t="shared" si="13"/>
        <v>NHC</v>
      </c>
    </row>
    <row r="437" spans="1:11" x14ac:dyDescent="0.25">
      <c r="A437" s="33" t="s">
        <v>99</v>
      </c>
      <c r="B437" s="33">
        <v>39</v>
      </c>
      <c r="C437" s="33" t="s">
        <v>42</v>
      </c>
      <c r="D437" s="33">
        <v>6</v>
      </c>
      <c r="E437" s="33" t="s">
        <v>22</v>
      </c>
      <c r="F437" s="33">
        <v>1</v>
      </c>
      <c r="G437" s="33" t="b">
        <v>0</v>
      </c>
      <c r="H437" s="33" t="s">
        <v>83</v>
      </c>
      <c r="I437" s="33">
        <v>72</v>
      </c>
      <c r="J437" s="33" t="str">
        <f t="shared" si="12"/>
        <v>Mid-to-Late Career</v>
      </c>
      <c r="K437" s="33" t="str">
        <f t="shared" si="13"/>
        <v>HC</v>
      </c>
    </row>
    <row r="438" spans="1:11" x14ac:dyDescent="0.25">
      <c r="A438" s="33" t="s">
        <v>531</v>
      </c>
      <c r="B438" s="33">
        <v>29</v>
      </c>
      <c r="C438" s="33" t="s">
        <v>42</v>
      </c>
      <c r="D438" s="33">
        <v>2</v>
      </c>
      <c r="E438" s="33" t="s">
        <v>18</v>
      </c>
      <c r="F438" s="33">
        <v>2</v>
      </c>
      <c r="G438" s="33" t="b">
        <v>0</v>
      </c>
      <c r="H438" s="33" t="s">
        <v>83</v>
      </c>
      <c r="I438" s="33">
        <v>92</v>
      </c>
      <c r="J438" s="33" t="str">
        <f t="shared" si="12"/>
        <v>Young Professionals</v>
      </c>
      <c r="K438" s="33" t="str">
        <f t="shared" si="13"/>
        <v>NHC</v>
      </c>
    </row>
    <row r="439" spans="1:11" x14ac:dyDescent="0.25">
      <c r="A439" s="33" t="s">
        <v>532</v>
      </c>
      <c r="B439" s="33">
        <v>26</v>
      </c>
      <c r="C439" s="33" t="s">
        <v>42</v>
      </c>
      <c r="D439" s="33">
        <v>0</v>
      </c>
      <c r="E439" s="33" t="s">
        <v>16</v>
      </c>
      <c r="F439" s="33">
        <v>2</v>
      </c>
      <c r="G439" s="33" t="b">
        <v>0</v>
      </c>
      <c r="H439" s="33" t="s">
        <v>83</v>
      </c>
      <c r="I439" s="33">
        <v>92</v>
      </c>
      <c r="J439" s="33" t="str">
        <f t="shared" si="12"/>
        <v>Young Professionals</v>
      </c>
      <c r="K439" s="33" t="str">
        <f t="shared" si="13"/>
        <v>NHC</v>
      </c>
    </row>
    <row r="440" spans="1:11" x14ac:dyDescent="0.25">
      <c r="A440" s="33" t="s">
        <v>533</v>
      </c>
      <c r="B440" s="33">
        <v>18</v>
      </c>
      <c r="C440" s="33" t="s">
        <v>1</v>
      </c>
      <c r="D440" s="33">
        <v>1</v>
      </c>
      <c r="E440" s="33" t="s">
        <v>11</v>
      </c>
      <c r="F440" s="33">
        <v>3</v>
      </c>
      <c r="G440" s="33" t="b">
        <v>1</v>
      </c>
      <c r="H440" s="33" t="s">
        <v>159</v>
      </c>
      <c r="I440" s="33">
        <v>91</v>
      </c>
      <c r="J440" s="33" t="str">
        <f t="shared" si="12"/>
        <v>Students</v>
      </c>
      <c r="K440" s="33" t="str">
        <f t="shared" si="13"/>
        <v>NHC</v>
      </c>
    </row>
    <row r="441" spans="1:11" x14ac:dyDescent="0.25">
      <c r="A441" s="33" t="s">
        <v>534</v>
      </c>
      <c r="B441" s="33">
        <v>27</v>
      </c>
      <c r="C441" s="33" t="s">
        <v>42</v>
      </c>
      <c r="D441" s="33">
        <v>4</v>
      </c>
      <c r="E441" s="33" t="s">
        <v>23</v>
      </c>
      <c r="F441" s="33">
        <v>1</v>
      </c>
      <c r="G441" s="33" t="b">
        <v>0</v>
      </c>
      <c r="H441" s="33" t="s">
        <v>83</v>
      </c>
      <c r="I441" s="33">
        <v>90</v>
      </c>
      <c r="J441" s="33" t="str">
        <f t="shared" si="12"/>
        <v>Young Professionals</v>
      </c>
      <c r="K441" s="33" t="str">
        <f t="shared" si="13"/>
        <v>HC</v>
      </c>
    </row>
    <row r="442" spans="1:11" x14ac:dyDescent="0.25">
      <c r="A442" s="33" t="s">
        <v>535</v>
      </c>
      <c r="B442" s="33">
        <v>19</v>
      </c>
      <c r="C442" s="33" t="s">
        <v>1</v>
      </c>
      <c r="D442" s="33">
        <v>0</v>
      </c>
      <c r="E442" s="33" t="s">
        <v>11</v>
      </c>
      <c r="F442" s="33">
        <v>3</v>
      </c>
      <c r="G442" s="33" t="b">
        <v>1</v>
      </c>
      <c r="H442" s="33" t="s">
        <v>159</v>
      </c>
      <c r="I442" s="33">
        <v>88</v>
      </c>
      <c r="J442" s="33" t="str">
        <f t="shared" si="12"/>
        <v>Students</v>
      </c>
      <c r="K442" s="33" t="str">
        <f t="shared" si="13"/>
        <v>NHC</v>
      </c>
    </row>
    <row r="443" spans="1:11" x14ac:dyDescent="0.25">
      <c r="A443" s="33" t="s">
        <v>96</v>
      </c>
      <c r="B443" s="33">
        <v>44</v>
      </c>
      <c r="C443" s="33" t="s">
        <v>42</v>
      </c>
      <c r="D443" s="33">
        <v>9</v>
      </c>
      <c r="E443" s="33" t="s">
        <v>22</v>
      </c>
      <c r="F443" s="33">
        <v>0</v>
      </c>
      <c r="G443" s="33" t="b">
        <v>1</v>
      </c>
      <c r="H443" s="33" t="s">
        <v>83</v>
      </c>
      <c r="I443" s="33">
        <v>72</v>
      </c>
      <c r="J443" s="33" t="str">
        <f t="shared" si="12"/>
        <v>Mid-to-Late Career</v>
      </c>
      <c r="K443" s="33" t="str">
        <f t="shared" si="13"/>
        <v>HC</v>
      </c>
    </row>
    <row r="444" spans="1:11" x14ac:dyDescent="0.25">
      <c r="A444" s="33" t="s">
        <v>536</v>
      </c>
      <c r="B444" s="33">
        <v>29</v>
      </c>
      <c r="C444" s="33" t="s">
        <v>42</v>
      </c>
      <c r="D444" s="33">
        <v>5</v>
      </c>
      <c r="E444" s="33" t="s">
        <v>10</v>
      </c>
      <c r="F444" s="33">
        <v>0</v>
      </c>
      <c r="G444" s="33" t="b">
        <v>0</v>
      </c>
      <c r="H444" s="33" t="s">
        <v>83</v>
      </c>
      <c r="I444" s="33">
        <v>95</v>
      </c>
      <c r="J444" s="33" t="str">
        <f t="shared" si="12"/>
        <v>Young Professionals</v>
      </c>
      <c r="K444" s="33" t="str">
        <f t="shared" si="13"/>
        <v>NHC</v>
      </c>
    </row>
    <row r="445" spans="1:11" x14ac:dyDescent="0.25">
      <c r="A445" s="33" t="s">
        <v>537</v>
      </c>
      <c r="B445" s="33">
        <v>21</v>
      </c>
      <c r="C445" s="33" t="s">
        <v>1</v>
      </c>
      <c r="D445" s="33">
        <v>2</v>
      </c>
      <c r="E445" s="33" t="s">
        <v>22</v>
      </c>
      <c r="F445" s="33">
        <v>3</v>
      </c>
      <c r="G445" s="33" t="b">
        <v>1</v>
      </c>
      <c r="H445" s="33" t="s">
        <v>159</v>
      </c>
      <c r="I445" s="33">
        <v>82</v>
      </c>
      <c r="J445" s="33" t="str">
        <f t="shared" si="12"/>
        <v>Students</v>
      </c>
      <c r="K445" s="33" t="str">
        <f t="shared" si="13"/>
        <v>NHC</v>
      </c>
    </row>
    <row r="446" spans="1:11" x14ac:dyDescent="0.25">
      <c r="A446" s="33" t="s">
        <v>95</v>
      </c>
      <c r="B446" s="33">
        <v>50</v>
      </c>
      <c r="C446" s="33" t="s">
        <v>42</v>
      </c>
      <c r="D446" s="33">
        <v>18</v>
      </c>
      <c r="E446" s="33" t="s">
        <v>11</v>
      </c>
      <c r="F446" s="33">
        <v>3</v>
      </c>
      <c r="G446" s="33" t="b">
        <v>0</v>
      </c>
      <c r="H446" s="33" t="s">
        <v>83</v>
      </c>
      <c r="I446" s="33">
        <v>86</v>
      </c>
      <c r="J446" s="33" t="str">
        <f t="shared" si="12"/>
        <v>Mid-to-Late Career</v>
      </c>
      <c r="K446" s="33" t="str">
        <f t="shared" si="13"/>
        <v>NHC</v>
      </c>
    </row>
    <row r="447" spans="1:11" x14ac:dyDescent="0.25">
      <c r="A447" s="33" t="s">
        <v>538</v>
      </c>
      <c r="B447" s="33">
        <v>40</v>
      </c>
      <c r="C447" s="33" t="s">
        <v>43</v>
      </c>
      <c r="D447" s="33">
        <v>16</v>
      </c>
      <c r="E447" s="33" t="s">
        <v>20</v>
      </c>
      <c r="F447" s="33">
        <v>5</v>
      </c>
      <c r="G447" s="33" t="b">
        <v>0</v>
      </c>
      <c r="H447" s="33" t="s">
        <v>165</v>
      </c>
      <c r="I447" s="33">
        <v>92</v>
      </c>
      <c r="J447" s="33" t="str">
        <f t="shared" si="12"/>
        <v>Homemakers</v>
      </c>
      <c r="K447" s="33" t="str">
        <f t="shared" si="13"/>
        <v>HC</v>
      </c>
    </row>
    <row r="448" spans="1:11" x14ac:dyDescent="0.25">
      <c r="A448" s="33" t="s">
        <v>539</v>
      </c>
      <c r="B448" s="33">
        <v>20</v>
      </c>
      <c r="C448" s="33" t="s">
        <v>1</v>
      </c>
      <c r="D448" s="33">
        <v>2</v>
      </c>
      <c r="E448" s="33" t="s">
        <v>11</v>
      </c>
      <c r="F448" s="33">
        <v>4</v>
      </c>
      <c r="G448" s="33" t="b">
        <v>1</v>
      </c>
      <c r="H448" s="33" t="s">
        <v>159</v>
      </c>
      <c r="I448" s="33">
        <v>93</v>
      </c>
      <c r="J448" s="33" t="str">
        <f t="shared" si="12"/>
        <v>Students</v>
      </c>
      <c r="K448" s="33" t="str">
        <f t="shared" si="13"/>
        <v>NHC</v>
      </c>
    </row>
    <row r="449" spans="1:11" x14ac:dyDescent="0.25">
      <c r="A449" s="33" t="s">
        <v>540</v>
      </c>
      <c r="B449" s="33">
        <v>28</v>
      </c>
      <c r="C449" s="33" t="s">
        <v>42</v>
      </c>
      <c r="D449" s="33">
        <v>3</v>
      </c>
      <c r="E449" s="33" t="s">
        <v>22</v>
      </c>
      <c r="F449" s="33">
        <v>0</v>
      </c>
      <c r="G449" s="33" t="b">
        <v>0</v>
      </c>
      <c r="H449" s="33" t="s">
        <v>83</v>
      </c>
      <c r="I449" s="33">
        <v>90</v>
      </c>
      <c r="J449" s="33" t="str">
        <f t="shared" si="12"/>
        <v>Young Professionals</v>
      </c>
      <c r="K449" s="33" t="str">
        <f t="shared" si="13"/>
        <v>HC</v>
      </c>
    </row>
    <row r="450" spans="1:11" x14ac:dyDescent="0.25">
      <c r="A450" s="33" t="s">
        <v>541</v>
      </c>
      <c r="B450" s="33">
        <v>50</v>
      </c>
      <c r="C450" s="33" t="s">
        <v>43</v>
      </c>
      <c r="D450" s="33">
        <v>7</v>
      </c>
      <c r="E450" s="33" t="s">
        <v>23</v>
      </c>
      <c r="F450" s="33">
        <v>3</v>
      </c>
      <c r="G450" s="33" t="b">
        <v>0</v>
      </c>
      <c r="H450" s="33" t="s">
        <v>165</v>
      </c>
      <c r="I450" s="33">
        <v>94</v>
      </c>
      <c r="J450" s="33" t="str">
        <f t="shared" ref="J450:J501" si="14">IF(C450="Student", "Students", IF(AND(C450="Employed", B450&gt;=22, B450&lt;=30), "Young Professionals", IF(AND(C450="Employed", B450&gt;=31, B450&lt;=55), "Mid-to-Late Career", IF(C450="Retired", "Retirees", "Homemakers"))))</f>
        <v>Homemakers</v>
      </c>
      <c r="K450" s="33" t="str">
        <f t="shared" ref="K450:K501" si="15">IF(E449="Healthcare &amp; Life Sciences", "HC", "NHC")</f>
        <v>NHC</v>
      </c>
    </row>
    <row r="451" spans="1:11" x14ac:dyDescent="0.25">
      <c r="A451" s="33" t="s">
        <v>542</v>
      </c>
      <c r="B451" s="33">
        <v>22</v>
      </c>
      <c r="C451" s="33" t="s">
        <v>42</v>
      </c>
      <c r="D451" s="33">
        <v>2</v>
      </c>
      <c r="E451" s="33" t="s">
        <v>22</v>
      </c>
      <c r="F451" s="33">
        <v>2</v>
      </c>
      <c r="G451" s="33" t="b">
        <v>0</v>
      </c>
      <c r="H451" s="33" t="s">
        <v>83</v>
      </c>
      <c r="I451" s="33">
        <v>91</v>
      </c>
      <c r="J451" s="33" t="str">
        <f t="shared" si="14"/>
        <v>Young Professionals</v>
      </c>
      <c r="K451" s="33" t="str">
        <f t="shared" si="15"/>
        <v>NHC</v>
      </c>
    </row>
    <row r="452" spans="1:11" x14ac:dyDescent="0.25">
      <c r="A452" s="33" t="s">
        <v>543</v>
      </c>
      <c r="B452" s="33">
        <v>24</v>
      </c>
      <c r="C452" s="33" t="s">
        <v>42</v>
      </c>
      <c r="D452" s="33">
        <v>2</v>
      </c>
      <c r="E452" s="33" t="s">
        <v>18</v>
      </c>
      <c r="F452" s="33">
        <v>2</v>
      </c>
      <c r="G452" s="33" t="b">
        <v>0</v>
      </c>
      <c r="H452" s="33" t="s">
        <v>83</v>
      </c>
      <c r="I452" s="33">
        <v>93</v>
      </c>
      <c r="J452" s="33" t="str">
        <f t="shared" si="14"/>
        <v>Young Professionals</v>
      </c>
      <c r="K452" s="33" t="str">
        <f t="shared" si="15"/>
        <v>NHC</v>
      </c>
    </row>
    <row r="453" spans="1:11" x14ac:dyDescent="0.25">
      <c r="A453" s="33" t="s">
        <v>544</v>
      </c>
      <c r="B453" s="33">
        <v>19</v>
      </c>
      <c r="C453" s="33" t="s">
        <v>1</v>
      </c>
      <c r="D453" s="33">
        <v>2</v>
      </c>
      <c r="E453" s="33" t="s">
        <v>11</v>
      </c>
      <c r="F453" s="33">
        <v>5</v>
      </c>
      <c r="G453" s="33" t="b">
        <v>1</v>
      </c>
      <c r="H453" s="33" t="s">
        <v>159</v>
      </c>
      <c r="I453" s="33">
        <v>90</v>
      </c>
      <c r="J453" s="33" t="str">
        <f t="shared" si="14"/>
        <v>Students</v>
      </c>
      <c r="K453" s="33" t="str">
        <f t="shared" si="15"/>
        <v>NHC</v>
      </c>
    </row>
    <row r="454" spans="1:11" x14ac:dyDescent="0.25">
      <c r="A454" s="33" t="s">
        <v>94</v>
      </c>
      <c r="B454" s="33">
        <v>40</v>
      </c>
      <c r="C454" s="33" t="s">
        <v>42</v>
      </c>
      <c r="D454" s="33">
        <v>16</v>
      </c>
      <c r="E454" s="33" t="s">
        <v>14</v>
      </c>
      <c r="F454" s="33">
        <v>0</v>
      </c>
      <c r="G454" s="33" t="b">
        <v>0</v>
      </c>
      <c r="H454" s="33" t="s">
        <v>83</v>
      </c>
      <c r="I454" s="33">
        <v>68</v>
      </c>
      <c r="J454" s="33" t="str">
        <f t="shared" si="14"/>
        <v>Mid-to-Late Career</v>
      </c>
      <c r="K454" s="33" t="str">
        <f t="shared" si="15"/>
        <v>HC</v>
      </c>
    </row>
    <row r="455" spans="1:11" x14ac:dyDescent="0.25">
      <c r="A455" s="33" t="s">
        <v>545</v>
      </c>
      <c r="B455" s="33">
        <v>18</v>
      </c>
      <c r="C455" s="33" t="s">
        <v>1</v>
      </c>
      <c r="D455" s="33">
        <v>2</v>
      </c>
      <c r="E455" s="33" t="s">
        <v>11</v>
      </c>
      <c r="F455" s="33">
        <v>3</v>
      </c>
      <c r="G455" s="33" t="b">
        <v>1</v>
      </c>
      <c r="H455" s="33" t="s">
        <v>159</v>
      </c>
      <c r="I455" s="33">
        <v>93</v>
      </c>
      <c r="J455" s="33" t="str">
        <f t="shared" si="14"/>
        <v>Students</v>
      </c>
      <c r="K455" s="33" t="str">
        <f t="shared" si="15"/>
        <v>NHC</v>
      </c>
    </row>
    <row r="456" spans="1:11" x14ac:dyDescent="0.25">
      <c r="A456" s="33" t="s">
        <v>546</v>
      </c>
      <c r="B456" s="33">
        <v>25</v>
      </c>
      <c r="C456" s="33" t="s">
        <v>43</v>
      </c>
      <c r="D456" s="33">
        <v>5</v>
      </c>
      <c r="E456" s="33" t="s">
        <v>14</v>
      </c>
      <c r="F456" s="33">
        <v>3</v>
      </c>
      <c r="G456" s="33" t="b">
        <v>0</v>
      </c>
      <c r="H456" s="33" t="s">
        <v>165</v>
      </c>
      <c r="I456" s="33">
        <v>93</v>
      </c>
      <c r="J456" s="33" t="str">
        <f t="shared" si="14"/>
        <v>Homemakers</v>
      </c>
      <c r="K456" s="33" t="str">
        <f t="shared" si="15"/>
        <v>HC</v>
      </c>
    </row>
    <row r="457" spans="1:11" x14ac:dyDescent="0.25">
      <c r="A457" s="33" t="s">
        <v>547</v>
      </c>
      <c r="B457" s="33">
        <v>19</v>
      </c>
      <c r="C457" s="33" t="s">
        <v>1</v>
      </c>
      <c r="D457" s="33">
        <v>0</v>
      </c>
      <c r="E457" s="33" t="s">
        <v>16</v>
      </c>
      <c r="F457" s="33">
        <v>3</v>
      </c>
      <c r="G457" s="33" t="b">
        <v>0</v>
      </c>
      <c r="H457" s="33" t="s">
        <v>159</v>
      </c>
      <c r="I457" s="33">
        <v>83</v>
      </c>
      <c r="J457" s="33" t="str">
        <f t="shared" si="14"/>
        <v>Students</v>
      </c>
      <c r="K457" s="33" t="str">
        <f t="shared" si="15"/>
        <v>NHC</v>
      </c>
    </row>
    <row r="458" spans="1:11" x14ac:dyDescent="0.25">
      <c r="A458" s="33" t="s">
        <v>548</v>
      </c>
      <c r="B458" s="33">
        <v>54</v>
      </c>
      <c r="C458" s="33" t="s">
        <v>43</v>
      </c>
      <c r="D458" s="33">
        <v>25</v>
      </c>
      <c r="E458" s="33" t="s">
        <v>20</v>
      </c>
      <c r="F458" s="33">
        <v>4</v>
      </c>
      <c r="G458" s="33" t="b">
        <v>0</v>
      </c>
      <c r="H458" s="33" t="s">
        <v>165</v>
      </c>
      <c r="I458" s="33">
        <v>97</v>
      </c>
      <c r="J458" s="33" t="str">
        <f t="shared" si="14"/>
        <v>Homemakers</v>
      </c>
      <c r="K458" s="33" t="str">
        <f t="shared" si="15"/>
        <v>NHC</v>
      </c>
    </row>
    <row r="459" spans="1:11" x14ac:dyDescent="0.25">
      <c r="A459" s="33" t="s">
        <v>549</v>
      </c>
      <c r="B459" s="33">
        <v>18</v>
      </c>
      <c r="C459" s="33" t="s">
        <v>1</v>
      </c>
      <c r="D459" s="33">
        <v>2</v>
      </c>
      <c r="E459" s="33" t="s">
        <v>14</v>
      </c>
      <c r="F459" s="33">
        <v>4</v>
      </c>
      <c r="G459" s="33" t="b">
        <v>0</v>
      </c>
      <c r="H459" s="33" t="s">
        <v>159</v>
      </c>
      <c r="I459" s="33">
        <v>85</v>
      </c>
      <c r="J459" s="33" t="str">
        <f t="shared" si="14"/>
        <v>Students</v>
      </c>
      <c r="K459" s="33" t="str">
        <f t="shared" si="15"/>
        <v>NHC</v>
      </c>
    </row>
    <row r="460" spans="1:11" x14ac:dyDescent="0.25">
      <c r="A460" s="33" t="s">
        <v>550</v>
      </c>
      <c r="B460" s="33">
        <v>57</v>
      </c>
      <c r="C460" s="33" t="s">
        <v>43</v>
      </c>
      <c r="D460" s="33">
        <v>38</v>
      </c>
      <c r="E460" s="33" t="s">
        <v>23</v>
      </c>
      <c r="F460" s="33">
        <v>4</v>
      </c>
      <c r="G460" s="33" t="b">
        <v>0</v>
      </c>
      <c r="H460" s="33" t="s">
        <v>165</v>
      </c>
      <c r="I460" s="33">
        <v>94</v>
      </c>
      <c r="J460" s="33" t="str">
        <f t="shared" si="14"/>
        <v>Homemakers</v>
      </c>
      <c r="K460" s="33" t="str">
        <f t="shared" si="15"/>
        <v>NHC</v>
      </c>
    </row>
    <row r="461" spans="1:11" x14ac:dyDescent="0.25">
      <c r="A461" s="33" t="s">
        <v>551</v>
      </c>
      <c r="B461" s="33">
        <v>21</v>
      </c>
      <c r="C461" s="33" t="s">
        <v>1</v>
      </c>
      <c r="D461" s="33">
        <v>0</v>
      </c>
      <c r="E461" s="33" t="s">
        <v>23</v>
      </c>
      <c r="F461" s="33">
        <v>3</v>
      </c>
      <c r="G461" s="33" t="b">
        <v>1</v>
      </c>
      <c r="H461" s="33" t="s">
        <v>159</v>
      </c>
      <c r="I461" s="33">
        <v>85</v>
      </c>
      <c r="J461" s="33" t="str">
        <f t="shared" si="14"/>
        <v>Students</v>
      </c>
      <c r="K461" s="33" t="str">
        <f t="shared" si="15"/>
        <v>NHC</v>
      </c>
    </row>
    <row r="462" spans="1:11" x14ac:dyDescent="0.25">
      <c r="A462" s="33" t="s">
        <v>552</v>
      </c>
      <c r="B462" s="33">
        <v>20</v>
      </c>
      <c r="C462" s="33" t="s">
        <v>1</v>
      </c>
      <c r="D462" s="33">
        <v>2</v>
      </c>
      <c r="E462" s="33" t="s">
        <v>22</v>
      </c>
      <c r="F462" s="33">
        <v>4</v>
      </c>
      <c r="G462" s="33" t="b">
        <v>1</v>
      </c>
      <c r="H462" s="33" t="s">
        <v>159</v>
      </c>
      <c r="I462" s="33">
        <v>88</v>
      </c>
      <c r="J462" s="33" t="str">
        <f t="shared" si="14"/>
        <v>Students</v>
      </c>
      <c r="K462" s="33" t="str">
        <f t="shared" si="15"/>
        <v>NHC</v>
      </c>
    </row>
    <row r="463" spans="1:11" x14ac:dyDescent="0.25">
      <c r="A463" s="33" t="s">
        <v>553</v>
      </c>
      <c r="B463" s="33">
        <v>18</v>
      </c>
      <c r="C463" s="33" t="s">
        <v>1</v>
      </c>
      <c r="D463" s="33">
        <v>1</v>
      </c>
      <c r="E463" s="33" t="s">
        <v>11</v>
      </c>
      <c r="F463" s="33">
        <v>5</v>
      </c>
      <c r="G463" s="33" t="b">
        <v>1</v>
      </c>
      <c r="H463" s="33" t="s">
        <v>159</v>
      </c>
      <c r="I463" s="33">
        <v>88</v>
      </c>
      <c r="J463" s="33" t="str">
        <f t="shared" si="14"/>
        <v>Students</v>
      </c>
      <c r="K463" s="33" t="str">
        <f t="shared" si="15"/>
        <v>NHC</v>
      </c>
    </row>
    <row r="464" spans="1:11" x14ac:dyDescent="0.25">
      <c r="A464" s="33" t="s">
        <v>554</v>
      </c>
      <c r="B464" s="33">
        <v>20</v>
      </c>
      <c r="C464" s="33" t="s">
        <v>1</v>
      </c>
      <c r="D464" s="33">
        <v>1</v>
      </c>
      <c r="E464" s="33" t="s">
        <v>11</v>
      </c>
      <c r="F464" s="33">
        <v>5</v>
      </c>
      <c r="G464" s="33" t="b">
        <v>1</v>
      </c>
      <c r="H464" s="33" t="s">
        <v>159</v>
      </c>
      <c r="I464" s="33">
        <v>88</v>
      </c>
      <c r="J464" s="33" t="str">
        <f t="shared" si="14"/>
        <v>Students</v>
      </c>
      <c r="K464" s="33" t="str">
        <f t="shared" si="15"/>
        <v>HC</v>
      </c>
    </row>
    <row r="465" spans="1:11" x14ac:dyDescent="0.25">
      <c r="A465" s="33" t="s">
        <v>93</v>
      </c>
      <c r="B465" s="33">
        <v>45</v>
      </c>
      <c r="C465" s="33" t="s">
        <v>42</v>
      </c>
      <c r="D465" s="33">
        <v>14</v>
      </c>
      <c r="E465" s="33" t="s">
        <v>22</v>
      </c>
      <c r="F465" s="33">
        <v>1</v>
      </c>
      <c r="G465" s="33" t="b">
        <v>0</v>
      </c>
      <c r="H465" s="33" t="s">
        <v>83</v>
      </c>
      <c r="I465" s="33">
        <v>70</v>
      </c>
      <c r="J465" s="33" t="str">
        <f t="shared" si="14"/>
        <v>Mid-to-Late Career</v>
      </c>
      <c r="K465" s="33" t="str">
        <f t="shared" si="15"/>
        <v>HC</v>
      </c>
    </row>
    <row r="466" spans="1:11" x14ac:dyDescent="0.25">
      <c r="A466" s="33" t="s">
        <v>555</v>
      </c>
      <c r="B466" s="33">
        <v>27</v>
      </c>
      <c r="C466" s="33" t="s">
        <v>42</v>
      </c>
      <c r="D466" s="33">
        <v>2</v>
      </c>
      <c r="E466" s="33" t="s">
        <v>22</v>
      </c>
      <c r="F466" s="33">
        <v>2</v>
      </c>
      <c r="G466" s="33" t="b">
        <v>0</v>
      </c>
      <c r="H466" s="33" t="s">
        <v>83</v>
      </c>
      <c r="I466" s="33">
        <v>93</v>
      </c>
      <c r="J466" s="33" t="str">
        <f t="shared" si="14"/>
        <v>Young Professionals</v>
      </c>
      <c r="K466" s="33" t="str">
        <f t="shared" si="15"/>
        <v>NHC</v>
      </c>
    </row>
    <row r="467" spans="1:11" x14ac:dyDescent="0.25">
      <c r="A467" s="33" t="s">
        <v>556</v>
      </c>
      <c r="B467" s="33">
        <v>29</v>
      </c>
      <c r="C467" s="33" t="s">
        <v>42</v>
      </c>
      <c r="D467" s="33">
        <v>0</v>
      </c>
      <c r="E467" s="33" t="s">
        <v>18</v>
      </c>
      <c r="F467" s="33">
        <v>1</v>
      </c>
      <c r="G467" s="33" t="b">
        <v>0</v>
      </c>
      <c r="H467" s="33" t="s">
        <v>83</v>
      </c>
      <c r="I467" s="33">
        <v>94</v>
      </c>
      <c r="J467" s="33" t="str">
        <f t="shared" si="14"/>
        <v>Young Professionals</v>
      </c>
      <c r="K467" s="33" t="str">
        <f t="shared" si="15"/>
        <v>NHC</v>
      </c>
    </row>
    <row r="468" spans="1:11" x14ac:dyDescent="0.25">
      <c r="A468" s="33" t="s">
        <v>557</v>
      </c>
      <c r="B468" s="33">
        <v>19</v>
      </c>
      <c r="C468" s="33" t="s">
        <v>1</v>
      </c>
      <c r="D468" s="33">
        <v>2</v>
      </c>
      <c r="E468" s="33" t="s">
        <v>11</v>
      </c>
      <c r="F468" s="33">
        <v>3</v>
      </c>
      <c r="G468" s="33" t="b">
        <v>1</v>
      </c>
      <c r="H468" s="33" t="s">
        <v>159</v>
      </c>
      <c r="I468" s="33">
        <v>93</v>
      </c>
      <c r="J468" s="33" t="str">
        <f t="shared" si="14"/>
        <v>Students</v>
      </c>
      <c r="K468" s="33" t="str">
        <f t="shared" si="15"/>
        <v>NHC</v>
      </c>
    </row>
    <row r="469" spans="1:11" x14ac:dyDescent="0.25">
      <c r="A469" s="33" t="s">
        <v>558</v>
      </c>
      <c r="B469" s="33">
        <v>29</v>
      </c>
      <c r="C469" s="33" t="s">
        <v>42</v>
      </c>
      <c r="D469" s="33">
        <v>1</v>
      </c>
      <c r="E469" s="33" t="s">
        <v>22</v>
      </c>
      <c r="F469" s="33">
        <v>1</v>
      </c>
      <c r="G469" s="33" t="b">
        <v>1</v>
      </c>
      <c r="H469" s="33" t="s">
        <v>83</v>
      </c>
      <c r="I469" s="33">
        <v>91</v>
      </c>
      <c r="J469" s="33" t="str">
        <f t="shared" si="14"/>
        <v>Young Professionals</v>
      </c>
      <c r="K469" s="33" t="str">
        <f t="shared" si="15"/>
        <v>HC</v>
      </c>
    </row>
    <row r="470" spans="1:11" x14ac:dyDescent="0.25">
      <c r="A470" s="33" t="s">
        <v>559</v>
      </c>
      <c r="B470" s="33">
        <v>32</v>
      </c>
      <c r="C470" s="33" t="s">
        <v>43</v>
      </c>
      <c r="D470" s="33">
        <v>12</v>
      </c>
      <c r="E470" s="33" t="s">
        <v>18</v>
      </c>
      <c r="F470" s="33">
        <v>5</v>
      </c>
      <c r="G470" s="33" t="b">
        <v>0</v>
      </c>
      <c r="H470" s="33" t="s">
        <v>165</v>
      </c>
      <c r="I470" s="33">
        <v>97</v>
      </c>
      <c r="J470" s="33" t="str">
        <f t="shared" si="14"/>
        <v>Homemakers</v>
      </c>
      <c r="K470" s="33" t="str">
        <f t="shared" si="15"/>
        <v>NHC</v>
      </c>
    </row>
    <row r="471" spans="1:11" x14ac:dyDescent="0.25">
      <c r="A471" s="33" t="s">
        <v>560</v>
      </c>
      <c r="B471" s="33">
        <v>18</v>
      </c>
      <c r="C471" s="33" t="s">
        <v>1</v>
      </c>
      <c r="D471" s="33">
        <v>1</v>
      </c>
      <c r="E471" s="33" t="s">
        <v>16</v>
      </c>
      <c r="F471" s="33">
        <v>3</v>
      </c>
      <c r="G471" s="33" t="b">
        <v>1</v>
      </c>
      <c r="H471" s="33" t="s">
        <v>159</v>
      </c>
      <c r="I471" s="33">
        <v>88</v>
      </c>
      <c r="J471" s="33" t="str">
        <f t="shared" si="14"/>
        <v>Students</v>
      </c>
      <c r="K471" s="33" t="str">
        <f t="shared" si="15"/>
        <v>NHC</v>
      </c>
    </row>
    <row r="472" spans="1:11" x14ac:dyDescent="0.25">
      <c r="A472" s="33" t="s">
        <v>561</v>
      </c>
      <c r="B472" s="33">
        <v>23</v>
      </c>
      <c r="C472" s="33" t="s">
        <v>42</v>
      </c>
      <c r="D472" s="33">
        <v>4</v>
      </c>
      <c r="E472" s="33" t="s">
        <v>18</v>
      </c>
      <c r="F472" s="33">
        <v>2</v>
      </c>
      <c r="G472" s="33" t="b">
        <v>0</v>
      </c>
      <c r="H472" s="33" t="s">
        <v>83</v>
      </c>
      <c r="I472" s="33">
        <v>89</v>
      </c>
      <c r="J472" s="33" t="str">
        <f t="shared" si="14"/>
        <v>Young Professionals</v>
      </c>
      <c r="K472" s="33" t="str">
        <f t="shared" si="15"/>
        <v>NHC</v>
      </c>
    </row>
    <row r="473" spans="1:11" x14ac:dyDescent="0.25">
      <c r="A473" s="33" t="s">
        <v>562</v>
      </c>
      <c r="B473" s="33">
        <v>39</v>
      </c>
      <c r="C473" s="33" t="s">
        <v>43</v>
      </c>
      <c r="D473" s="33">
        <v>11</v>
      </c>
      <c r="E473" s="33" t="s">
        <v>18</v>
      </c>
      <c r="F473" s="33">
        <v>3</v>
      </c>
      <c r="G473" s="33" t="b">
        <v>0</v>
      </c>
      <c r="H473" s="33" t="s">
        <v>165</v>
      </c>
      <c r="I473" s="33">
        <v>97</v>
      </c>
      <c r="J473" s="33" t="str">
        <f t="shared" si="14"/>
        <v>Homemakers</v>
      </c>
      <c r="K473" s="33" t="str">
        <f t="shared" si="15"/>
        <v>NHC</v>
      </c>
    </row>
    <row r="474" spans="1:11" x14ac:dyDescent="0.25">
      <c r="A474" s="33" t="s">
        <v>563</v>
      </c>
      <c r="B474" s="33">
        <v>18</v>
      </c>
      <c r="C474" s="33" t="s">
        <v>1</v>
      </c>
      <c r="D474" s="33">
        <v>1</v>
      </c>
      <c r="E474" s="33" t="s">
        <v>14</v>
      </c>
      <c r="F474" s="33">
        <v>5</v>
      </c>
      <c r="G474" s="33" t="b">
        <v>0</v>
      </c>
      <c r="H474" s="33" t="s">
        <v>159</v>
      </c>
      <c r="I474" s="33">
        <v>86</v>
      </c>
      <c r="J474" s="33" t="str">
        <f t="shared" si="14"/>
        <v>Students</v>
      </c>
      <c r="K474" s="33" t="str">
        <f t="shared" si="15"/>
        <v>NHC</v>
      </c>
    </row>
    <row r="475" spans="1:11" x14ac:dyDescent="0.25">
      <c r="A475" s="33" t="s">
        <v>92</v>
      </c>
      <c r="B475" s="33">
        <v>45</v>
      </c>
      <c r="C475" s="33" t="s">
        <v>42</v>
      </c>
      <c r="D475" s="33">
        <v>17</v>
      </c>
      <c r="E475" s="33" t="s">
        <v>23</v>
      </c>
      <c r="F475" s="33">
        <v>0</v>
      </c>
      <c r="G475" s="33" t="b">
        <v>1</v>
      </c>
      <c r="H475" s="33" t="s">
        <v>83</v>
      </c>
      <c r="I475" s="33">
        <v>70</v>
      </c>
      <c r="J475" s="33" t="str">
        <f t="shared" si="14"/>
        <v>Mid-to-Late Career</v>
      </c>
      <c r="K475" s="33" t="str">
        <f t="shared" si="15"/>
        <v>NHC</v>
      </c>
    </row>
    <row r="476" spans="1:11" x14ac:dyDescent="0.25">
      <c r="A476" s="33" t="s">
        <v>564</v>
      </c>
      <c r="B476" s="33">
        <v>29</v>
      </c>
      <c r="C476" s="33" t="s">
        <v>42</v>
      </c>
      <c r="D476" s="33">
        <v>3</v>
      </c>
      <c r="E476" s="33" t="s">
        <v>18</v>
      </c>
      <c r="F476" s="33">
        <v>1</v>
      </c>
      <c r="G476" s="33" t="b">
        <v>0</v>
      </c>
      <c r="H476" s="33" t="s">
        <v>83</v>
      </c>
      <c r="I476" s="33">
        <v>91</v>
      </c>
      <c r="J476" s="33" t="str">
        <f t="shared" si="14"/>
        <v>Young Professionals</v>
      </c>
      <c r="K476" s="33" t="str">
        <f t="shared" si="15"/>
        <v>NHC</v>
      </c>
    </row>
    <row r="477" spans="1:11" x14ac:dyDescent="0.25">
      <c r="A477" s="33" t="s">
        <v>565</v>
      </c>
      <c r="B477" s="33">
        <v>68</v>
      </c>
      <c r="C477" s="33" t="s">
        <v>44</v>
      </c>
      <c r="D477" s="33">
        <v>38</v>
      </c>
      <c r="E477" s="33" t="s">
        <v>20</v>
      </c>
      <c r="F477" s="33">
        <v>3</v>
      </c>
      <c r="G477" s="33" t="b">
        <v>0</v>
      </c>
      <c r="H477" s="33" t="s">
        <v>165</v>
      </c>
      <c r="I477" s="33">
        <v>89</v>
      </c>
      <c r="J477" s="33" t="str">
        <f t="shared" si="14"/>
        <v>Retirees</v>
      </c>
      <c r="K477" s="33" t="str">
        <f t="shared" si="15"/>
        <v>NHC</v>
      </c>
    </row>
    <row r="478" spans="1:11" x14ac:dyDescent="0.25">
      <c r="A478" s="33" t="s">
        <v>91</v>
      </c>
      <c r="B478" s="33">
        <v>49</v>
      </c>
      <c r="C478" s="33" t="s">
        <v>42</v>
      </c>
      <c r="D478" s="33">
        <v>10</v>
      </c>
      <c r="E478" s="33" t="s">
        <v>16</v>
      </c>
      <c r="F478" s="33">
        <v>1</v>
      </c>
      <c r="G478" s="33" t="b">
        <v>1</v>
      </c>
      <c r="H478" s="33" t="s">
        <v>83</v>
      </c>
      <c r="I478" s="33">
        <v>69</v>
      </c>
      <c r="J478" s="33" t="str">
        <f t="shared" si="14"/>
        <v>Mid-to-Late Career</v>
      </c>
      <c r="K478" s="33" t="str">
        <f t="shared" si="15"/>
        <v>NHC</v>
      </c>
    </row>
    <row r="479" spans="1:11" x14ac:dyDescent="0.25">
      <c r="A479" s="33" t="s">
        <v>566</v>
      </c>
      <c r="B479" s="33">
        <v>29</v>
      </c>
      <c r="C479" s="33" t="s">
        <v>42</v>
      </c>
      <c r="D479" s="33">
        <v>2</v>
      </c>
      <c r="E479" s="33" t="s">
        <v>14</v>
      </c>
      <c r="F479" s="33">
        <v>0</v>
      </c>
      <c r="G479" s="33" t="b">
        <v>0</v>
      </c>
      <c r="H479" s="33" t="s">
        <v>83</v>
      </c>
      <c r="I479" s="33">
        <v>89</v>
      </c>
      <c r="J479" s="33" t="str">
        <f t="shared" si="14"/>
        <v>Young Professionals</v>
      </c>
      <c r="K479" s="33" t="str">
        <f t="shared" si="15"/>
        <v>NHC</v>
      </c>
    </row>
    <row r="480" spans="1:11" x14ac:dyDescent="0.25">
      <c r="A480" s="33" t="s">
        <v>567</v>
      </c>
      <c r="B480" s="33">
        <v>24</v>
      </c>
      <c r="C480" s="33" t="s">
        <v>42</v>
      </c>
      <c r="D480" s="33">
        <v>3</v>
      </c>
      <c r="E480" s="33" t="s">
        <v>16</v>
      </c>
      <c r="F480" s="33">
        <v>1</v>
      </c>
      <c r="G480" s="33" t="b">
        <v>1</v>
      </c>
      <c r="H480" s="33" t="s">
        <v>83</v>
      </c>
      <c r="I480" s="33">
        <v>93</v>
      </c>
      <c r="J480" s="33" t="str">
        <f t="shared" si="14"/>
        <v>Young Professionals</v>
      </c>
      <c r="K480" s="33" t="str">
        <f t="shared" si="15"/>
        <v>NHC</v>
      </c>
    </row>
    <row r="481" spans="1:11" x14ac:dyDescent="0.25">
      <c r="A481" s="33" t="s">
        <v>568</v>
      </c>
      <c r="B481" s="33">
        <v>21</v>
      </c>
      <c r="C481" s="33" t="s">
        <v>1</v>
      </c>
      <c r="D481" s="33">
        <v>1</v>
      </c>
      <c r="E481" s="33" t="s">
        <v>11</v>
      </c>
      <c r="F481" s="33">
        <v>5</v>
      </c>
      <c r="G481" s="33" t="b">
        <v>1</v>
      </c>
      <c r="H481" s="33" t="s">
        <v>159</v>
      </c>
      <c r="I481" s="33">
        <v>88</v>
      </c>
      <c r="J481" s="33" t="str">
        <f t="shared" si="14"/>
        <v>Students</v>
      </c>
      <c r="K481" s="33" t="str">
        <f t="shared" si="15"/>
        <v>NHC</v>
      </c>
    </row>
    <row r="482" spans="1:11" x14ac:dyDescent="0.25">
      <c r="A482" s="33" t="s">
        <v>569</v>
      </c>
      <c r="B482" s="33">
        <v>21</v>
      </c>
      <c r="C482" s="33" t="s">
        <v>1</v>
      </c>
      <c r="D482" s="33">
        <v>2</v>
      </c>
      <c r="E482" s="33" t="s">
        <v>11</v>
      </c>
      <c r="F482" s="33">
        <v>5</v>
      </c>
      <c r="G482" s="33" t="b">
        <v>1</v>
      </c>
      <c r="H482" s="33" t="s">
        <v>159</v>
      </c>
      <c r="I482" s="33">
        <v>90</v>
      </c>
      <c r="J482" s="33" t="str">
        <f t="shared" si="14"/>
        <v>Students</v>
      </c>
      <c r="K482" s="33" t="str">
        <f t="shared" si="15"/>
        <v>HC</v>
      </c>
    </row>
    <row r="483" spans="1:11" x14ac:dyDescent="0.25">
      <c r="A483" s="33" t="s">
        <v>570</v>
      </c>
      <c r="B483" s="33">
        <v>19</v>
      </c>
      <c r="C483" s="33" t="s">
        <v>1</v>
      </c>
      <c r="D483" s="33">
        <v>2</v>
      </c>
      <c r="E483" s="33" t="s">
        <v>20</v>
      </c>
      <c r="F483" s="33">
        <v>3</v>
      </c>
      <c r="G483" s="33" t="b">
        <v>0</v>
      </c>
      <c r="H483" s="33" t="s">
        <v>159</v>
      </c>
      <c r="I483" s="33">
        <v>86</v>
      </c>
      <c r="J483" s="33" t="str">
        <f t="shared" si="14"/>
        <v>Students</v>
      </c>
      <c r="K483" s="33" t="str">
        <f t="shared" si="15"/>
        <v>HC</v>
      </c>
    </row>
    <row r="484" spans="1:11" x14ac:dyDescent="0.25">
      <c r="A484" s="33" t="s">
        <v>90</v>
      </c>
      <c r="B484" s="33">
        <v>52</v>
      </c>
      <c r="C484" s="33" t="s">
        <v>42</v>
      </c>
      <c r="D484" s="33">
        <v>10</v>
      </c>
      <c r="E484" s="33" t="s">
        <v>20</v>
      </c>
      <c r="F484" s="33">
        <v>2</v>
      </c>
      <c r="G484" s="33" t="b">
        <v>0</v>
      </c>
      <c r="H484" s="33" t="s">
        <v>83</v>
      </c>
      <c r="I484" s="33">
        <v>71</v>
      </c>
      <c r="J484" s="33" t="str">
        <f t="shared" si="14"/>
        <v>Mid-to-Late Career</v>
      </c>
      <c r="K484" s="33" t="str">
        <f t="shared" si="15"/>
        <v>NHC</v>
      </c>
    </row>
    <row r="485" spans="1:11" x14ac:dyDescent="0.25">
      <c r="A485" s="33" t="s">
        <v>571</v>
      </c>
      <c r="B485" s="33">
        <v>18</v>
      </c>
      <c r="C485" s="33" t="s">
        <v>1</v>
      </c>
      <c r="D485" s="33">
        <v>0</v>
      </c>
      <c r="E485" s="33" t="s">
        <v>11</v>
      </c>
      <c r="F485" s="33">
        <v>5</v>
      </c>
      <c r="G485" s="33" t="b">
        <v>1</v>
      </c>
      <c r="H485" s="33" t="s">
        <v>159</v>
      </c>
      <c r="I485" s="33">
        <v>93</v>
      </c>
      <c r="J485" s="33" t="str">
        <f t="shared" si="14"/>
        <v>Students</v>
      </c>
      <c r="K485" s="33" t="str">
        <f t="shared" si="15"/>
        <v>NHC</v>
      </c>
    </row>
    <row r="486" spans="1:11" x14ac:dyDescent="0.25">
      <c r="A486" s="33" t="s">
        <v>87</v>
      </c>
      <c r="B486" s="33">
        <v>43</v>
      </c>
      <c r="C486" s="33" t="s">
        <v>42</v>
      </c>
      <c r="D486" s="33">
        <v>6</v>
      </c>
      <c r="E486" s="33" t="s">
        <v>10</v>
      </c>
      <c r="F486" s="33">
        <v>2</v>
      </c>
      <c r="G486" s="33" t="b">
        <v>0</v>
      </c>
      <c r="H486" s="33" t="s">
        <v>83</v>
      </c>
      <c r="I486" s="33">
        <v>70</v>
      </c>
      <c r="J486" s="33" t="str">
        <f t="shared" si="14"/>
        <v>Mid-to-Late Career</v>
      </c>
      <c r="K486" s="33" t="str">
        <f t="shared" si="15"/>
        <v>HC</v>
      </c>
    </row>
    <row r="487" spans="1:11" x14ac:dyDescent="0.25">
      <c r="A487" s="33" t="s">
        <v>572</v>
      </c>
      <c r="B487" s="33">
        <v>18</v>
      </c>
      <c r="C487" s="33" t="s">
        <v>1</v>
      </c>
      <c r="D487" s="33">
        <v>2</v>
      </c>
      <c r="E487" s="33" t="s">
        <v>11</v>
      </c>
      <c r="F487" s="33">
        <v>3</v>
      </c>
      <c r="G487" s="33" t="b">
        <v>1</v>
      </c>
      <c r="H487" s="33" t="s">
        <v>159</v>
      </c>
      <c r="I487" s="33">
        <v>88</v>
      </c>
      <c r="J487" s="33" t="str">
        <f t="shared" si="14"/>
        <v>Students</v>
      </c>
      <c r="K487" s="33" t="str">
        <f t="shared" si="15"/>
        <v>NHC</v>
      </c>
    </row>
    <row r="488" spans="1:11" x14ac:dyDescent="0.25">
      <c r="A488" s="33" t="s">
        <v>573</v>
      </c>
      <c r="B488" s="33">
        <v>51</v>
      </c>
      <c r="C488" s="33" t="s">
        <v>43</v>
      </c>
      <c r="D488" s="33">
        <v>19</v>
      </c>
      <c r="E488" s="33" t="s">
        <v>18</v>
      </c>
      <c r="F488" s="33">
        <v>4</v>
      </c>
      <c r="G488" s="33" t="b">
        <v>1</v>
      </c>
      <c r="H488" s="33" t="s">
        <v>165</v>
      </c>
      <c r="I488" s="33">
        <v>98</v>
      </c>
      <c r="J488" s="33" t="str">
        <f t="shared" si="14"/>
        <v>Homemakers</v>
      </c>
      <c r="K488" s="33" t="str">
        <f t="shared" si="15"/>
        <v>HC</v>
      </c>
    </row>
    <row r="489" spans="1:11" x14ac:dyDescent="0.25">
      <c r="A489" s="33" t="s">
        <v>86</v>
      </c>
      <c r="B489" s="33">
        <v>41</v>
      </c>
      <c r="C489" s="33" t="s">
        <v>42</v>
      </c>
      <c r="D489" s="33">
        <v>21</v>
      </c>
      <c r="E489" s="33" t="s">
        <v>11</v>
      </c>
      <c r="F489" s="33">
        <v>2</v>
      </c>
      <c r="G489" s="33" t="b">
        <v>0</v>
      </c>
      <c r="H489" s="33" t="s">
        <v>83</v>
      </c>
      <c r="I489" s="33">
        <v>86</v>
      </c>
      <c r="J489" s="33" t="str">
        <f t="shared" si="14"/>
        <v>Mid-to-Late Career</v>
      </c>
      <c r="K489" s="33" t="str">
        <f t="shared" si="15"/>
        <v>NHC</v>
      </c>
    </row>
    <row r="490" spans="1:11" x14ac:dyDescent="0.25">
      <c r="A490" s="33" t="s">
        <v>574</v>
      </c>
      <c r="B490" s="33">
        <v>29</v>
      </c>
      <c r="C490" s="33" t="s">
        <v>42</v>
      </c>
      <c r="D490" s="33">
        <v>5</v>
      </c>
      <c r="E490" s="33" t="s">
        <v>11</v>
      </c>
      <c r="F490" s="33">
        <v>2</v>
      </c>
      <c r="G490" s="33" t="b">
        <v>0</v>
      </c>
      <c r="H490" s="33" t="s">
        <v>83</v>
      </c>
      <c r="I490" s="33">
        <v>93</v>
      </c>
      <c r="J490" s="33" t="str">
        <f t="shared" si="14"/>
        <v>Young Professionals</v>
      </c>
      <c r="K490" s="33" t="str">
        <f t="shared" si="15"/>
        <v>HC</v>
      </c>
    </row>
    <row r="491" spans="1:11" x14ac:dyDescent="0.25">
      <c r="A491" s="33" t="s">
        <v>575</v>
      </c>
      <c r="B491" s="33">
        <v>53</v>
      </c>
      <c r="C491" s="33" t="s">
        <v>43</v>
      </c>
      <c r="D491" s="33">
        <v>22</v>
      </c>
      <c r="E491" s="33" t="s">
        <v>20</v>
      </c>
      <c r="F491" s="33">
        <v>3</v>
      </c>
      <c r="G491" s="33" t="b">
        <v>0</v>
      </c>
      <c r="H491" s="33" t="s">
        <v>165</v>
      </c>
      <c r="I491" s="33">
        <v>95</v>
      </c>
      <c r="J491" s="33" t="str">
        <f t="shared" si="14"/>
        <v>Homemakers</v>
      </c>
      <c r="K491" s="33" t="str">
        <f t="shared" si="15"/>
        <v>HC</v>
      </c>
    </row>
    <row r="492" spans="1:11" x14ac:dyDescent="0.25">
      <c r="A492" s="33" t="s">
        <v>576</v>
      </c>
      <c r="B492" s="33">
        <v>19</v>
      </c>
      <c r="C492" s="33" t="s">
        <v>1</v>
      </c>
      <c r="D492" s="33">
        <v>2</v>
      </c>
      <c r="E492" s="33" t="s">
        <v>11</v>
      </c>
      <c r="F492" s="33">
        <v>4</v>
      </c>
      <c r="G492" s="33" t="b">
        <v>1</v>
      </c>
      <c r="H492" s="33" t="s">
        <v>159</v>
      </c>
      <c r="I492" s="33">
        <v>89</v>
      </c>
      <c r="J492" s="33" t="str">
        <f t="shared" si="14"/>
        <v>Students</v>
      </c>
      <c r="K492" s="33" t="str">
        <f t="shared" si="15"/>
        <v>NHC</v>
      </c>
    </row>
    <row r="493" spans="1:11" x14ac:dyDescent="0.25">
      <c r="A493" s="33" t="s">
        <v>577</v>
      </c>
      <c r="B493" s="33">
        <v>54</v>
      </c>
      <c r="C493" s="33" t="s">
        <v>43</v>
      </c>
      <c r="D493" s="33">
        <v>12</v>
      </c>
      <c r="E493" s="33" t="s">
        <v>8</v>
      </c>
      <c r="F493" s="33">
        <v>3</v>
      </c>
      <c r="G493" s="33" t="b">
        <v>0</v>
      </c>
      <c r="H493" s="33" t="s">
        <v>165</v>
      </c>
      <c r="I493" s="33">
        <v>97</v>
      </c>
      <c r="J493" s="33" t="str">
        <f t="shared" si="14"/>
        <v>Homemakers</v>
      </c>
      <c r="K493" s="33" t="str">
        <f t="shared" si="15"/>
        <v>HC</v>
      </c>
    </row>
    <row r="494" spans="1:11" x14ac:dyDescent="0.25">
      <c r="A494" s="33" t="s">
        <v>578</v>
      </c>
      <c r="B494" s="33">
        <v>19</v>
      </c>
      <c r="C494" s="33" t="s">
        <v>1</v>
      </c>
      <c r="D494" s="33">
        <v>1</v>
      </c>
      <c r="E494" s="33" t="s">
        <v>11</v>
      </c>
      <c r="F494" s="33">
        <v>5</v>
      </c>
      <c r="G494" s="33" t="b">
        <v>1</v>
      </c>
      <c r="H494" s="33" t="s">
        <v>159</v>
      </c>
      <c r="I494" s="33">
        <v>89</v>
      </c>
      <c r="J494" s="33" t="str">
        <f t="shared" si="14"/>
        <v>Students</v>
      </c>
      <c r="K494" s="33" t="str">
        <f t="shared" si="15"/>
        <v>NHC</v>
      </c>
    </row>
    <row r="495" spans="1:11" x14ac:dyDescent="0.25">
      <c r="A495" s="33" t="s">
        <v>579</v>
      </c>
      <c r="B495" s="33">
        <v>18</v>
      </c>
      <c r="C495" s="33" t="s">
        <v>1</v>
      </c>
      <c r="D495" s="33">
        <v>1</v>
      </c>
      <c r="E495" s="33" t="s">
        <v>18</v>
      </c>
      <c r="F495" s="33">
        <v>5</v>
      </c>
      <c r="G495" s="33" t="b">
        <v>0</v>
      </c>
      <c r="H495" s="33" t="s">
        <v>159</v>
      </c>
      <c r="I495" s="33">
        <v>86</v>
      </c>
      <c r="J495" s="33" t="str">
        <f t="shared" si="14"/>
        <v>Students</v>
      </c>
      <c r="K495" s="33" t="str">
        <f t="shared" si="15"/>
        <v>HC</v>
      </c>
    </row>
    <row r="496" spans="1:11" x14ac:dyDescent="0.25">
      <c r="A496" s="33" t="s">
        <v>580</v>
      </c>
      <c r="B496" s="33">
        <v>20</v>
      </c>
      <c r="C496" s="33" t="s">
        <v>1</v>
      </c>
      <c r="D496" s="33">
        <v>0</v>
      </c>
      <c r="E496" s="33" t="s">
        <v>11</v>
      </c>
      <c r="F496" s="33">
        <v>5</v>
      </c>
      <c r="G496" s="33" t="b">
        <v>1</v>
      </c>
      <c r="H496" s="33" t="s">
        <v>159</v>
      </c>
      <c r="I496" s="33">
        <v>92</v>
      </c>
      <c r="J496" s="33" t="str">
        <f t="shared" si="14"/>
        <v>Students</v>
      </c>
      <c r="K496" s="33" t="str">
        <f t="shared" si="15"/>
        <v>NHC</v>
      </c>
    </row>
    <row r="497" spans="1:11" x14ac:dyDescent="0.25">
      <c r="A497" s="33" t="s">
        <v>581</v>
      </c>
      <c r="B497" s="33">
        <v>20</v>
      </c>
      <c r="C497" s="33" t="s">
        <v>1</v>
      </c>
      <c r="D497" s="33">
        <v>0</v>
      </c>
      <c r="E497" s="33" t="s">
        <v>11</v>
      </c>
      <c r="F497" s="33">
        <v>5</v>
      </c>
      <c r="G497" s="33" t="b">
        <v>1</v>
      </c>
      <c r="H497" s="33" t="s">
        <v>159</v>
      </c>
      <c r="I497" s="33">
        <v>88</v>
      </c>
      <c r="J497" s="33" t="str">
        <f t="shared" si="14"/>
        <v>Students</v>
      </c>
      <c r="K497" s="33" t="str">
        <f t="shared" si="15"/>
        <v>HC</v>
      </c>
    </row>
    <row r="498" spans="1:11" x14ac:dyDescent="0.25">
      <c r="A498" s="33" t="s">
        <v>582</v>
      </c>
      <c r="B498" s="33">
        <v>26</v>
      </c>
      <c r="C498" s="33" t="s">
        <v>42</v>
      </c>
      <c r="D498" s="33">
        <v>1</v>
      </c>
      <c r="E498" s="33" t="s">
        <v>20</v>
      </c>
      <c r="F498" s="33">
        <v>2</v>
      </c>
      <c r="G498" s="33" t="b">
        <v>1</v>
      </c>
      <c r="H498" s="33" t="s">
        <v>83</v>
      </c>
      <c r="I498" s="33">
        <v>93</v>
      </c>
      <c r="J498" s="33" t="str">
        <f t="shared" si="14"/>
        <v>Young Professionals</v>
      </c>
      <c r="K498" s="33" t="str">
        <f t="shared" si="15"/>
        <v>HC</v>
      </c>
    </row>
    <row r="499" spans="1:11" x14ac:dyDescent="0.25">
      <c r="A499" s="33" t="s">
        <v>84</v>
      </c>
      <c r="B499" s="33">
        <v>49</v>
      </c>
      <c r="C499" s="33" t="s">
        <v>42</v>
      </c>
      <c r="D499" s="33">
        <v>15</v>
      </c>
      <c r="E499" s="33" t="s">
        <v>14</v>
      </c>
      <c r="F499" s="33">
        <v>1</v>
      </c>
      <c r="G499" s="33" t="b">
        <v>0</v>
      </c>
      <c r="H499" s="33" t="s">
        <v>83</v>
      </c>
      <c r="I499" s="33">
        <v>70</v>
      </c>
      <c r="J499" s="33" t="str">
        <f t="shared" si="14"/>
        <v>Mid-to-Late Career</v>
      </c>
      <c r="K499" s="33" t="str">
        <f t="shared" si="15"/>
        <v>NHC</v>
      </c>
    </row>
    <row r="500" spans="1:11" x14ac:dyDescent="0.25">
      <c r="A500" s="33" t="s">
        <v>583</v>
      </c>
      <c r="B500" s="33">
        <v>27</v>
      </c>
      <c r="C500" s="33" t="s">
        <v>43</v>
      </c>
      <c r="D500" s="33">
        <v>10</v>
      </c>
      <c r="E500" s="33" t="s">
        <v>22</v>
      </c>
      <c r="F500" s="33">
        <v>5</v>
      </c>
      <c r="G500" s="33" t="b">
        <v>1</v>
      </c>
      <c r="H500" s="33" t="s">
        <v>165</v>
      </c>
      <c r="I500" s="33">
        <v>94</v>
      </c>
      <c r="J500" s="33" t="str">
        <f t="shared" si="14"/>
        <v>Homemakers</v>
      </c>
      <c r="K500" s="33" t="str">
        <f t="shared" si="15"/>
        <v>NHC</v>
      </c>
    </row>
    <row r="501" spans="1:11" x14ac:dyDescent="0.25">
      <c r="A501" s="33" t="s">
        <v>584</v>
      </c>
      <c r="B501" s="33">
        <v>20</v>
      </c>
      <c r="C501" s="33" t="s">
        <v>1</v>
      </c>
      <c r="D501" s="33">
        <v>2</v>
      </c>
      <c r="E501" s="33" t="s">
        <v>11</v>
      </c>
      <c r="F501" s="33">
        <v>4</v>
      </c>
      <c r="G501" s="33" t="b">
        <v>1</v>
      </c>
      <c r="H501" s="33" t="s">
        <v>159</v>
      </c>
      <c r="I501" s="33">
        <v>92</v>
      </c>
      <c r="J501" s="33" t="str">
        <f t="shared" si="14"/>
        <v>Students</v>
      </c>
      <c r="K501" s="33" t="str">
        <f t="shared" si="15"/>
        <v>NHC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EE27-F9A1-4ADA-8F6E-16F41E207736}">
  <dimension ref="B4:P40"/>
  <sheetViews>
    <sheetView zoomScale="70" zoomScaleNormal="70" workbookViewId="0">
      <pane xSplit="1" topLeftCell="B1" activePane="topRight" state="frozen"/>
      <selection pane="topRight" activeCell="C43" sqref="C43"/>
    </sheetView>
  </sheetViews>
  <sheetFormatPr defaultRowHeight="15" x14ac:dyDescent="0.25"/>
  <cols>
    <col min="2" max="2" width="21" bestFit="1" customWidth="1"/>
    <col min="3" max="3" width="37.140625" bestFit="1" customWidth="1"/>
    <col min="4" max="4" width="6.7109375" bestFit="1" customWidth="1"/>
    <col min="5" max="5" width="15" bestFit="1" customWidth="1"/>
    <col min="6" max="8" width="8.85546875" bestFit="1" customWidth="1"/>
    <col min="9" max="9" width="15" bestFit="1" customWidth="1"/>
    <col min="10" max="10" width="19.28515625" bestFit="1" customWidth="1"/>
    <col min="11" max="12" width="20.5703125" bestFit="1" customWidth="1"/>
    <col min="13" max="28" width="8.85546875" bestFit="1" customWidth="1"/>
  </cols>
  <sheetData>
    <row r="4" spans="2:5" ht="15.75" thickBot="1" x14ac:dyDescent="0.3"/>
    <row r="5" spans="2:5" x14ac:dyDescent="0.25">
      <c r="B5" s="142" t="s">
        <v>589</v>
      </c>
      <c r="C5" s="143"/>
      <c r="D5" s="143"/>
      <c r="E5" s="144"/>
    </row>
    <row r="6" spans="2:5" ht="15.75" thickBot="1" x14ac:dyDescent="0.3">
      <c r="B6" s="145"/>
      <c r="C6" s="146"/>
      <c r="D6" s="146"/>
      <c r="E6" s="147"/>
    </row>
    <row r="7" spans="2:5" ht="15.75" thickBot="1" x14ac:dyDescent="0.3">
      <c r="B7" s="91" t="s">
        <v>50</v>
      </c>
      <c r="C7" s="91" t="s">
        <v>588</v>
      </c>
      <c r="D7" s="97"/>
      <c r="E7" s="98"/>
    </row>
    <row r="8" spans="2:5" ht="15.75" thickBot="1" x14ac:dyDescent="0.3">
      <c r="B8" s="91" t="s">
        <v>588</v>
      </c>
      <c r="C8" s="97" t="s">
        <v>585</v>
      </c>
      <c r="D8" s="98" t="s">
        <v>586</v>
      </c>
      <c r="E8" s="96" t="s">
        <v>41</v>
      </c>
    </row>
    <row r="9" spans="2:5" x14ac:dyDescent="0.25">
      <c r="B9" s="99" t="s">
        <v>51</v>
      </c>
      <c r="C9" s="182">
        <v>33</v>
      </c>
      <c r="D9" s="187">
        <v>42</v>
      </c>
      <c r="E9" s="183">
        <v>75</v>
      </c>
    </row>
    <row r="10" spans="2:5" x14ac:dyDescent="0.25">
      <c r="B10" s="100" t="s">
        <v>52</v>
      </c>
      <c r="C10" s="184">
        <v>27</v>
      </c>
      <c r="D10" s="178">
        <v>48</v>
      </c>
      <c r="E10" s="179">
        <v>75</v>
      </c>
    </row>
    <row r="11" spans="2:5" x14ac:dyDescent="0.25">
      <c r="B11" s="100" t="s">
        <v>0</v>
      </c>
      <c r="C11" s="184">
        <v>12</v>
      </c>
      <c r="D11" s="178">
        <v>13</v>
      </c>
      <c r="E11" s="179">
        <v>25</v>
      </c>
    </row>
    <row r="12" spans="2:5" x14ac:dyDescent="0.25">
      <c r="B12" s="100" t="s">
        <v>53</v>
      </c>
      <c r="C12" s="184">
        <v>78</v>
      </c>
      <c r="D12" s="178">
        <v>122</v>
      </c>
      <c r="E12" s="179">
        <v>200</v>
      </c>
    </row>
    <row r="13" spans="2:5" ht="15.75" thickBot="1" x14ac:dyDescent="0.3">
      <c r="B13" s="101" t="s">
        <v>54</v>
      </c>
      <c r="C13" s="184">
        <v>49</v>
      </c>
      <c r="D13" s="178">
        <v>76</v>
      </c>
      <c r="E13" s="179">
        <v>125</v>
      </c>
    </row>
    <row r="14" spans="2:5" ht="15.75" thickBot="1" x14ac:dyDescent="0.3">
      <c r="B14" s="92" t="s">
        <v>41</v>
      </c>
      <c r="C14" s="185">
        <v>199</v>
      </c>
      <c r="D14" s="180">
        <v>301</v>
      </c>
      <c r="E14" s="181">
        <v>500</v>
      </c>
    </row>
    <row r="23" spans="2:3" x14ac:dyDescent="0.25">
      <c r="B23" s="4"/>
      <c r="C23" s="4"/>
    </row>
    <row r="24" spans="2:3" ht="15.75" thickBot="1" x14ac:dyDescent="0.3"/>
    <row r="25" spans="2:3" x14ac:dyDescent="0.25">
      <c r="B25" s="136" t="s">
        <v>591</v>
      </c>
      <c r="C25" s="137"/>
    </row>
    <row r="26" spans="2:3" ht="15.75" thickBot="1" x14ac:dyDescent="0.3">
      <c r="B26" s="138"/>
      <c r="C26" s="139"/>
    </row>
    <row r="27" spans="2:3" ht="15.75" thickBot="1" x14ac:dyDescent="0.3">
      <c r="B27" s="91" t="s">
        <v>590</v>
      </c>
      <c r="C27" s="96" t="s">
        <v>56</v>
      </c>
    </row>
    <row r="28" spans="2:3" x14ac:dyDescent="0.25">
      <c r="B28" s="99" t="s">
        <v>51</v>
      </c>
      <c r="C28" s="102">
        <v>0.20202020202020202</v>
      </c>
    </row>
    <row r="29" spans="2:3" x14ac:dyDescent="0.25">
      <c r="B29" s="100" t="s">
        <v>52</v>
      </c>
      <c r="C29" s="103">
        <v>6.0606060606060608E-2</v>
      </c>
    </row>
    <row r="30" spans="2:3" x14ac:dyDescent="0.25">
      <c r="B30" s="100" t="s">
        <v>0</v>
      </c>
      <c r="C30" s="103">
        <v>8.0808080808080815E-2</v>
      </c>
    </row>
    <row r="31" spans="2:3" x14ac:dyDescent="0.25">
      <c r="B31" s="100" t="s">
        <v>53</v>
      </c>
      <c r="C31" s="103">
        <v>0.53872053872053871</v>
      </c>
    </row>
    <row r="32" spans="2:3" ht="15.75" thickBot="1" x14ac:dyDescent="0.3">
      <c r="B32" s="101" t="s">
        <v>54</v>
      </c>
      <c r="C32" s="103">
        <v>0.11784511784511785</v>
      </c>
    </row>
    <row r="33" spans="2:16" ht="15.75" thickBot="1" x14ac:dyDescent="0.3">
      <c r="B33" s="92" t="s">
        <v>41</v>
      </c>
      <c r="C33" s="104">
        <v>1</v>
      </c>
    </row>
    <row r="40" spans="2:16" ht="18.75" x14ac:dyDescent="0.25">
      <c r="P40" s="71"/>
    </row>
  </sheetData>
  <mergeCells count="2">
    <mergeCell ref="B5:E6"/>
    <mergeCell ref="B25:C26"/>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E1D3-8AD3-4018-BD3B-474D17227F57}">
  <dimension ref="B2:I39"/>
  <sheetViews>
    <sheetView topLeftCell="A9" zoomScale="70" zoomScaleNormal="70" workbookViewId="0">
      <selection activeCell="C43" sqref="C43"/>
    </sheetView>
  </sheetViews>
  <sheetFormatPr defaultRowHeight="15" x14ac:dyDescent="0.25"/>
  <cols>
    <col min="1" max="1" width="17.5703125" bestFit="1" customWidth="1"/>
    <col min="2" max="2" width="28.85546875" bestFit="1" customWidth="1"/>
    <col min="3" max="3" width="41.5703125" bestFit="1" customWidth="1"/>
    <col min="4" max="4" width="37.85546875" bestFit="1" customWidth="1"/>
    <col min="5" max="5" width="30.28515625" bestFit="1" customWidth="1"/>
    <col min="6" max="6" width="27.85546875" bestFit="1" customWidth="1"/>
    <col min="7" max="7" width="18.7109375" bestFit="1" customWidth="1"/>
  </cols>
  <sheetData>
    <row r="2" spans="2:6" ht="15.75" thickBot="1" x14ac:dyDescent="0.3"/>
    <row r="3" spans="2:6" x14ac:dyDescent="0.25">
      <c r="B3" s="136" t="s">
        <v>593</v>
      </c>
      <c r="C3" s="137"/>
    </row>
    <row r="4" spans="2:6" ht="15.75" thickBot="1" x14ac:dyDescent="0.3">
      <c r="B4" s="138"/>
      <c r="C4" s="139"/>
    </row>
    <row r="5" spans="2:6" ht="15.75" thickBot="1" x14ac:dyDescent="0.3">
      <c r="B5" s="91" t="s">
        <v>592</v>
      </c>
      <c r="C5" s="96" t="s">
        <v>49</v>
      </c>
    </row>
    <row r="6" spans="2:6" ht="15.75" thickBot="1" x14ac:dyDescent="0.3">
      <c r="B6" s="92" t="s">
        <v>585</v>
      </c>
      <c r="C6" s="89">
        <v>3.0603015075376883</v>
      </c>
    </row>
    <row r="7" spans="2:6" x14ac:dyDescent="0.25">
      <c r="B7" s="93" t="s">
        <v>51</v>
      </c>
      <c r="C7" s="90">
        <v>3.8787878787878789</v>
      </c>
    </row>
    <row r="8" spans="2:6" x14ac:dyDescent="0.25">
      <c r="B8" s="94" t="s">
        <v>52</v>
      </c>
      <c r="C8" s="90">
        <v>1.1111111111111112</v>
      </c>
    </row>
    <row r="9" spans="2:6" x14ac:dyDescent="0.25">
      <c r="B9" s="94" t="s">
        <v>0</v>
      </c>
      <c r="C9" s="90">
        <v>5</v>
      </c>
    </row>
    <row r="10" spans="2:6" x14ac:dyDescent="0.25">
      <c r="B10" s="94" t="s">
        <v>53</v>
      </c>
      <c r="C10" s="90">
        <v>3.9871794871794872</v>
      </c>
    </row>
    <row r="11" spans="2:6" ht="15.75" thickBot="1" x14ac:dyDescent="0.3">
      <c r="B11" s="95" t="s">
        <v>54</v>
      </c>
      <c r="C11" s="90">
        <v>1.6326530612244898</v>
      </c>
    </row>
    <row r="12" spans="2:6" ht="15.75" thickBot="1" x14ac:dyDescent="0.3">
      <c r="B12" s="92" t="s">
        <v>586</v>
      </c>
      <c r="C12" s="90">
        <v>2.9102990033222591</v>
      </c>
      <c r="F12" s="4"/>
    </row>
    <row r="13" spans="2:6" x14ac:dyDescent="0.25">
      <c r="B13" s="93" t="s">
        <v>51</v>
      </c>
      <c r="C13" s="90">
        <v>4.0952380952380949</v>
      </c>
      <c r="F13" s="31"/>
    </row>
    <row r="14" spans="2:6" x14ac:dyDescent="0.25">
      <c r="B14" s="94" t="s">
        <v>52</v>
      </c>
      <c r="C14" s="90">
        <v>1.25</v>
      </c>
      <c r="F14" s="31"/>
    </row>
    <row r="15" spans="2:6" x14ac:dyDescent="0.25">
      <c r="B15" s="94" t="s">
        <v>0</v>
      </c>
      <c r="C15" s="90">
        <v>4.615384615384615</v>
      </c>
      <c r="F15" s="31"/>
    </row>
    <row r="16" spans="2:6" x14ac:dyDescent="0.25">
      <c r="B16" s="94" t="s">
        <v>53</v>
      </c>
      <c r="C16" s="90">
        <v>4.0081967213114753</v>
      </c>
      <c r="F16" s="31"/>
    </row>
    <row r="17" spans="2:9" ht="15.75" thickBot="1" x14ac:dyDescent="0.3">
      <c r="B17" s="95" t="s">
        <v>54</v>
      </c>
      <c r="C17" s="90">
        <v>1.25</v>
      </c>
      <c r="F17" s="4"/>
    </row>
    <row r="18" spans="2:9" ht="15.75" thickBot="1" x14ac:dyDescent="0.3">
      <c r="B18" s="92" t="s">
        <v>41</v>
      </c>
      <c r="C18" s="186">
        <v>2.97</v>
      </c>
      <c r="F18" s="31"/>
    </row>
    <row r="19" spans="2:9" x14ac:dyDescent="0.25">
      <c r="I19" s="31"/>
    </row>
    <row r="20" spans="2:9" x14ac:dyDescent="0.25">
      <c r="I20" s="31"/>
    </row>
    <row r="21" spans="2:9" x14ac:dyDescent="0.25">
      <c r="I21" s="31"/>
    </row>
    <row r="22" spans="2:9" ht="15.75" thickBot="1" x14ac:dyDescent="0.3">
      <c r="I22" s="4"/>
    </row>
    <row r="23" spans="2:9" x14ac:dyDescent="0.25">
      <c r="B23" s="136" t="s">
        <v>601</v>
      </c>
      <c r="C23" s="140"/>
      <c r="D23" s="140"/>
      <c r="E23" s="140"/>
      <c r="F23" s="137"/>
    </row>
    <row r="24" spans="2:9" ht="15.75" thickBot="1" x14ac:dyDescent="0.3">
      <c r="B24" s="138"/>
      <c r="C24" s="141"/>
      <c r="D24" s="141"/>
      <c r="E24" s="141"/>
      <c r="F24" s="139"/>
    </row>
    <row r="25" spans="2:9" ht="15.75" thickBot="1" x14ac:dyDescent="0.3">
      <c r="B25" s="75" t="s">
        <v>594</v>
      </c>
      <c r="C25" s="33" t="s">
        <v>595</v>
      </c>
      <c r="D25" s="33" t="s">
        <v>598</v>
      </c>
      <c r="E25" s="74" t="s">
        <v>596</v>
      </c>
      <c r="F25" s="76" t="s">
        <v>597</v>
      </c>
    </row>
    <row r="26" spans="2:9" x14ac:dyDescent="0.25">
      <c r="B26" s="77" t="s">
        <v>51</v>
      </c>
      <c r="C26" s="73" t="str">
        <f>'[1]Marketing Information'!$B$7</f>
        <v>In-person Outreach</v>
      </c>
      <c r="D26" s="82">
        <f>'[1]Marketing Information'!$C$7</f>
        <v>200</v>
      </c>
      <c r="E26" s="80">
        <f>Table8[[#This Row],[Cost of Acquisition  (SAR)]]/GETPIVOTDATA("Average Monthly Hours",$B$5,"Segment","Homemakers","HC Background","HC")</f>
        <v>51.5625</v>
      </c>
      <c r="F26" s="81">
        <f>Table8[[#This Row],[Cost of Acquisition  (SAR)]]/GETPIVOTDATA("Average Monthly Hours",$B$5,"Segment","Homemakers","HC Background","NHC")</f>
        <v>48.837209302325583</v>
      </c>
    </row>
    <row r="27" spans="2:9" x14ac:dyDescent="0.25">
      <c r="B27" s="77" t="s">
        <v>52</v>
      </c>
      <c r="C27" s="73" t="str">
        <f>'[1]Marketing Information'!$B$6</f>
        <v>Online Marketing</v>
      </c>
      <c r="D27" s="82">
        <f>'[1]Marketing Information'!$C$6</f>
        <v>100</v>
      </c>
      <c r="E27" s="82">
        <f>Table8[[#This Row],[Cost of Acquisition  (SAR)]]/GETPIVOTDATA("Average Monthly Hours",$B$5,"Segment","Mid-to-Late Career","HC Background","HC")</f>
        <v>90</v>
      </c>
      <c r="F27" s="83">
        <f>Table8[[#This Row],[Cost of Acquisition  (SAR)]]/GETPIVOTDATA("Average Monthly Hours",$B$5,"Segment","Mid-to-Late Career","HC Background","NHC")</f>
        <v>80</v>
      </c>
    </row>
    <row r="28" spans="2:9" x14ac:dyDescent="0.25">
      <c r="B28" s="77" t="s">
        <v>0</v>
      </c>
      <c r="C28" s="73" t="str">
        <f>'[1]Marketing Information'!$B$7</f>
        <v>In-person Outreach</v>
      </c>
      <c r="D28" s="82">
        <f>'[1]Marketing Information'!$C$7</f>
        <v>200</v>
      </c>
      <c r="E28" s="80">
        <f>Table8[[#This Row],[Cost of Acquisition  (SAR)]]/GETPIVOTDATA("Average Monthly Hours",$B$5,"Segment","Retirees","HC Background","HC")</f>
        <v>40</v>
      </c>
      <c r="F28" s="81">
        <f>Table8[[#This Row],[Cost of Acquisition  (SAR)]]/GETPIVOTDATA("Average Monthly Hours",$B$5,"Segment","Retirees","HC Background","NHC")</f>
        <v>43.333333333333336</v>
      </c>
    </row>
    <row r="29" spans="2:9" x14ac:dyDescent="0.25">
      <c r="B29" s="77" t="s">
        <v>53</v>
      </c>
      <c r="C29" s="73" t="str">
        <f>'[1]Marketing Information'!$B$5</f>
        <v>University Partnership Outreach</v>
      </c>
      <c r="D29" s="82">
        <f>'[1]Marketing Information'!$C$5</f>
        <v>250</v>
      </c>
      <c r="E29" s="82">
        <f>Table8[[#This Row],[Cost of Acquisition  (SAR)]]/GETPIVOTDATA("Average Monthly Hours",$B$5,"Segment","Students","HC Background","HC")</f>
        <v>62.70096463022508</v>
      </c>
      <c r="F29" s="83">
        <f>Table8[[#This Row],[Cost of Acquisition  (SAR)]]/GETPIVOTDATA("Average Monthly Hours",$B$5,"Segment","Students","HC Background","NHC")</f>
        <v>62.372188139059304</v>
      </c>
    </row>
    <row r="30" spans="2:9" ht="15.75" thickBot="1" x14ac:dyDescent="0.3">
      <c r="B30" s="78" t="s">
        <v>54</v>
      </c>
      <c r="C30" s="79" t="str">
        <f>'[1]Marketing Information'!$B$6</f>
        <v>Online Marketing</v>
      </c>
      <c r="D30" s="86">
        <f>'[1]Marketing Information'!$C$6</f>
        <v>100</v>
      </c>
      <c r="E30" s="84">
        <f>Table8[[#This Row],[Cost of Acquisition  (SAR)]]/GETPIVOTDATA("Average Monthly Hours",$B$5,"Segment","Young Professionals","HC Background","HC")</f>
        <v>61.25</v>
      </c>
      <c r="F30" s="85">
        <f>Table8[[#This Row],[Cost of Acquisition  (SAR)]]/GETPIVOTDATA("Average Monthly Hours",$B$5,"Segment","Young Professionals","HC Background","NHC")</f>
        <v>80</v>
      </c>
    </row>
    <row r="31" spans="2:9" x14ac:dyDescent="0.25">
      <c r="E31" s="32"/>
    </row>
    <row r="33" spans="2:4" x14ac:dyDescent="0.25">
      <c r="B33" s="30" t="s">
        <v>590</v>
      </c>
      <c r="C33" t="s">
        <v>599</v>
      </c>
      <c r="D33" t="s">
        <v>600</v>
      </c>
    </row>
    <row r="34" spans="2:4" x14ac:dyDescent="0.25">
      <c r="B34" s="4" t="s">
        <v>51</v>
      </c>
      <c r="C34" s="87">
        <v>51.5625</v>
      </c>
      <c r="D34" s="87">
        <v>48.837209302325583</v>
      </c>
    </row>
    <row r="35" spans="2:4" x14ac:dyDescent="0.25">
      <c r="B35" s="4" t="s">
        <v>52</v>
      </c>
      <c r="C35" s="135">
        <v>90</v>
      </c>
      <c r="D35" s="87">
        <v>80</v>
      </c>
    </row>
    <row r="36" spans="2:4" x14ac:dyDescent="0.25">
      <c r="B36" s="4" t="s">
        <v>0</v>
      </c>
      <c r="C36" s="87">
        <v>40</v>
      </c>
      <c r="D36" s="87">
        <v>43.333333333333336</v>
      </c>
    </row>
    <row r="37" spans="2:4" x14ac:dyDescent="0.25">
      <c r="B37" s="4" t="s">
        <v>53</v>
      </c>
      <c r="C37" s="87">
        <v>62.70096463022508</v>
      </c>
      <c r="D37" s="87">
        <v>62.372188139059304</v>
      </c>
    </row>
    <row r="38" spans="2:4" x14ac:dyDescent="0.25">
      <c r="B38" s="4" t="s">
        <v>54</v>
      </c>
      <c r="C38" s="87">
        <v>61.25</v>
      </c>
      <c r="D38" s="87">
        <v>80</v>
      </c>
    </row>
    <row r="39" spans="2:4" x14ac:dyDescent="0.25">
      <c r="B39" s="4" t="s">
        <v>41</v>
      </c>
      <c r="C39" s="87">
        <v>305.51346463022509</v>
      </c>
      <c r="D39" s="87">
        <v>314.54273077471822</v>
      </c>
    </row>
  </sheetData>
  <mergeCells count="2">
    <mergeCell ref="B3:C4"/>
    <mergeCell ref="B23:F24"/>
  </mergeCells>
  <pageMargins left="0.7" right="0.7" top="0.75" bottom="0.75" header="0.3" footer="0.3"/>
  <pageSetup paperSize="9" orientation="portrait" r:id="rId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5F27B-963B-4D8A-B4E6-FABA070068D9}">
  <dimension ref="A1:K559"/>
  <sheetViews>
    <sheetView topLeftCell="F13" zoomScale="115" zoomScaleNormal="115" workbookViewId="0">
      <selection activeCell="J18" sqref="J18:J29"/>
    </sheetView>
  </sheetViews>
  <sheetFormatPr defaultRowHeight="15" x14ac:dyDescent="0.25"/>
  <cols>
    <col min="2" max="2" width="17.42578125" bestFit="1" customWidth="1"/>
    <col min="3" max="3" width="27.7109375" bestFit="1" customWidth="1"/>
    <col min="4" max="4" width="23.5703125" customWidth="1"/>
    <col min="5" max="5" width="16.42578125" customWidth="1"/>
    <col min="6" max="6" width="40.42578125" customWidth="1"/>
    <col min="7" max="7" width="40.7109375" bestFit="1" customWidth="1"/>
    <col min="8" max="8" width="29" bestFit="1" customWidth="1"/>
    <col min="9" max="9" width="44.42578125" bestFit="1" customWidth="1"/>
    <col min="10" max="10" width="37.28515625" bestFit="1" customWidth="1"/>
    <col min="11" max="11" width="29" bestFit="1" customWidth="1"/>
  </cols>
  <sheetData>
    <row r="1" spans="1:9" ht="26.25" customHeight="1" x14ac:dyDescent="0.4">
      <c r="A1" s="2"/>
      <c r="B1" s="2"/>
      <c r="C1" s="2"/>
      <c r="D1" s="148" t="s">
        <v>2</v>
      </c>
      <c r="E1" s="148"/>
      <c r="F1" s="148"/>
      <c r="G1" s="148"/>
      <c r="H1" s="148"/>
      <c r="I1" s="148"/>
    </row>
    <row r="3" spans="1:9" ht="15.75" thickBot="1" x14ac:dyDescent="0.3">
      <c r="C3" s="6" t="s">
        <v>3</v>
      </c>
      <c r="D3" s="6" t="s">
        <v>4</v>
      </c>
      <c r="F3" s="6" t="s">
        <v>5</v>
      </c>
      <c r="G3" s="6" t="s">
        <v>6</v>
      </c>
      <c r="H3" s="15" t="s">
        <v>7</v>
      </c>
      <c r="I3" s="6" t="s">
        <v>47</v>
      </c>
    </row>
    <row r="4" spans="1:9" x14ac:dyDescent="0.25">
      <c r="C4" s="3" t="s">
        <v>8</v>
      </c>
      <c r="D4" s="5">
        <v>2</v>
      </c>
      <c r="F4" s="8" t="s">
        <v>9</v>
      </c>
      <c r="G4" s="12">
        <v>3500</v>
      </c>
      <c r="H4" s="16" t="s">
        <v>10</v>
      </c>
    </row>
    <row r="5" spans="1:9" x14ac:dyDescent="0.25">
      <c r="C5" s="4" t="s">
        <v>11</v>
      </c>
      <c r="D5" s="1">
        <v>3</v>
      </c>
      <c r="F5" s="7" t="s">
        <v>12</v>
      </c>
      <c r="G5" s="13">
        <v>2000</v>
      </c>
      <c r="H5" s="17" t="s">
        <v>13</v>
      </c>
      <c r="I5" s="35" t="s">
        <v>10</v>
      </c>
    </row>
    <row r="6" spans="1:9" x14ac:dyDescent="0.25">
      <c r="C6" s="3" t="s">
        <v>14</v>
      </c>
      <c r="D6" s="5">
        <v>1</v>
      </c>
      <c r="F6" s="8" t="s">
        <v>15</v>
      </c>
      <c r="G6" s="12">
        <v>1500</v>
      </c>
      <c r="H6" s="17" t="s">
        <v>16</v>
      </c>
      <c r="I6" s="36" t="s">
        <v>13</v>
      </c>
    </row>
    <row r="7" spans="1:9" x14ac:dyDescent="0.25">
      <c r="C7" s="4" t="s">
        <v>16</v>
      </c>
      <c r="D7" s="1">
        <v>6</v>
      </c>
      <c r="F7" s="9" t="s">
        <v>17</v>
      </c>
      <c r="G7" s="13">
        <v>1500</v>
      </c>
      <c r="H7" s="17" t="s">
        <v>18</v>
      </c>
      <c r="I7" s="36" t="s">
        <v>18</v>
      </c>
    </row>
    <row r="8" spans="1:9" x14ac:dyDescent="0.25">
      <c r="C8" s="3" t="s">
        <v>11</v>
      </c>
      <c r="D8" s="5">
        <v>2</v>
      </c>
      <c r="F8" s="8" t="s">
        <v>19</v>
      </c>
      <c r="G8" s="12">
        <v>1000</v>
      </c>
      <c r="H8" s="17" t="s">
        <v>11</v>
      </c>
      <c r="I8" s="36" t="s">
        <v>22</v>
      </c>
    </row>
    <row r="9" spans="1:9" x14ac:dyDescent="0.25">
      <c r="C9" s="4" t="s">
        <v>20</v>
      </c>
      <c r="D9" s="1">
        <v>0</v>
      </c>
      <c r="F9" s="9" t="s">
        <v>21</v>
      </c>
      <c r="G9" s="11">
        <v>600</v>
      </c>
      <c r="H9" s="17" t="s">
        <v>22</v>
      </c>
      <c r="I9" s="37" t="s">
        <v>20</v>
      </c>
    </row>
    <row r="10" spans="1:9" x14ac:dyDescent="0.25">
      <c r="C10" s="3" t="s">
        <v>23</v>
      </c>
      <c r="D10" s="5">
        <v>0</v>
      </c>
      <c r="F10" s="8" t="s">
        <v>24</v>
      </c>
      <c r="G10" s="10">
        <v>400</v>
      </c>
      <c r="H10" s="17" t="s">
        <v>20</v>
      </c>
      <c r="I10" s="36" t="s">
        <v>8</v>
      </c>
    </row>
    <row r="11" spans="1:9" x14ac:dyDescent="0.25">
      <c r="C11" s="4" t="s">
        <v>11</v>
      </c>
      <c r="D11" s="1">
        <v>1</v>
      </c>
      <c r="F11" s="9" t="s">
        <v>25</v>
      </c>
      <c r="G11" s="13">
        <v>2500</v>
      </c>
      <c r="H11" s="17" t="s">
        <v>8</v>
      </c>
      <c r="I11" s="37" t="s">
        <v>14</v>
      </c>
    </row>
    <row r="12" spans="1:9" ht="15.75" thickBot="1" x14ac:dyDescent="0.3">
      <c r="C12" s="3" t="s">
        <v>11</v>
      </c>
      <c r="D12" s="5">
        <v>3</v>
      </c>
      <c r="F12" s="8" t="s">
        <v>26</v>
      </c>
      <c r="G12" s="12">
        <v>2000</v>
      </c>
      <c r="H12" s="17" t="s">
        <v>14</v>
      </c>
      <c r="I12" s="38" t="s">
        <v>23</v>
      </c>
    </row>
    <row r="13" spans="1:9" x14ac:dyDescent="0.25">
      <c r="C13" s="4" t="s">
        <v>20</v>
      </c>
      <c r="D13" s="1">
        <v>4</v>
      </c>
      <c r="F13" s="9" t="s">
        <v>27</v>
      </c>
      <c r="G13" s="13">
        <v>2500</v>
      </c>
      <c r="H13" s="14" t="s">
        <v>23</v>
      </c>
    </row>
    <row r="14" spans="1:9" x14ac:dyDescent="0.25">
      <c r="C14" s="3" t="s">
        <v>11</v>
      </c>
      <c r="D14" s="5">
        <v>3</v>
      </c>
    </row>
    <row r="15" spans="1:9" ht="15.75" thickBot="1" x14ac:dyDescent="0.3">
      <c r="C15" s="4" t="s">
        <v>10</v>
      </c>
      <c r="D15" s="1">
        <v>5</v>
      </c>
    </row>
    <row r="16" spans="1:9" ht="15.75" thickBot="1" x14ac:dyDescent="0.3">
      <c r="C16" s="3" t="s">
        <v>11</v>
      </c>
      <c r="D16" s="5">
        <v>5</v>
      </c>
      <c r="F16" s="39" t="s">
        <v>3</v>
      </c>
      <c r="G16" s="39" t="s">
        <v>4</v>
      </c>
    </row>
    <row r="17" spans="3:10" x14ac:dyDescent="0.25">
      <c r="C17" s="4" t="s">
        <v>11</v>
      </c>
      <c r="D17" s="1">
        <v>2</v>
      </c>
      <c r="F17" s="3" t="s">
        <v>8</v>
      </c>
      <c r="G17" s="5">
        <v>2</v>
      </c>
    </row>
    <row r="18" spans="3:10" x14ac:dyDescent="0.25">
      <c r="C18" s="3" t="s">
        <v>20</v>
      </c>
      <c r="D18" s="5">
        <v>0</v>
      </c>
      <c r="F18" s="4" t="s">
        <v>14</v>
      </c>
      <c r="G18" s="1">
        <v>1</v>
      </c>
      <c r="I18" s="30" t="s">
        <v>48</v>
      </c>
      <c r="J18" t="s">
        <v>56</v>
      </c>
    </row>
    <row r="19" spans="3:10" x14ac:dyDescent="0.25">
      <c r="C19" s="4" t="s">
        <v>10</v>
      </c>
      <c r="D19" s="1">
        <v>2</v>
      </c>
      <c r="F19" s="3" t="s">
        <v>20</v>
      </c>
      <c r="G19" s="5">
        <v>0</v>
      </c>
      <c r="I19" s="4" t="s">
        <v>10</v>
      </c>
      <c r="J19">
        <v>69</v>
      </c>
    </row>
    <row r="20" spans="3:10" x14ac:dyDescent="0.25">
      <c r="C20" s="3" t="s">
        <v>20</v>
      </c>
      <c r="D20" s="5">
        <v>5</v>
      </c>
      <c r="F20" s="4" t="s">
        <v>20</v>
      </c>
      <c r="G20" s="1">
        <v>4</v>
      </c>
      <c r="I20" s="4" t="s">
        <v>13</v>
      </c>
      <c r="J20">
        <v>72</v>
      </c>
    </row>
    <row r="21" spans="3:10" x14ac:dyDescent="0.25">
      <c r="C21" s="4" t="s">
        <v>11</v>
      </c>
      <c r="D21" s="1">
        <v>3</v>
      </c>
      <c r="F21" s="3" t="s">
        <v>20</v>
      </c>
      <c r="G21" s="5">
        <v>0</v>
      </c>
      <c r="I21" s="4" t="s">
        <v>16</v>
      </c>
      <c r="J21">
        <v>66</v>
      </c>
    </row>
    <row r="22" spans="3:10" x14ac:dyDescent="0.25">
      <c r="C22" s="3" t="s">
        <v>8</v>
      </c>
      <c r="D22" s="5">
        <v>2</v>
      </c>
      <c r="F22" s="4" t="s">
        <v>10</v>
      </c>
      <c r="G22" s="1">
        <v>2</v>
      </c>
      <c r="I22" s="4" t="s">
        <v>18</v>
      </c>
      <c r="J22">
        <v>67</v>
      </c>
    </row>
    <row r="23" spans="3:10" x14ac:dyDescent="0.25">
      <c r="C23" s="4" t="s">
        <v>11</v>
      </c>
      <c r="D23" s="1">
        <v>5</v>
      </c>
      <c r="F23" s="3" t="s">
        <v>20</v>
      </c>
      <c r="G23" s="5">
        <v>5</v>
      </c>
      <c r="I23" s="4" t="s">
        <v>11</v>
      </c>
      <c r="J23">
        <v>765</v>
      </c>
    </row>
    <row r="24" spans="3:10" x14ac:dyDescent="0.25">
      <c r="C24" s="3" t="s">
        <v>10</v>
      </c>
      <c r="D24" s="5">
        <v>3</v>
      </c>
      <c r="F24" s="4" t="s">
        <v>8</v>
      </c>
      <c r="G24" s="1">
        <v>2</v>
      </c>
      <c r="I24" s="4" t="s">
        <v>22</v>
      </c>
      <c r="J24">
        <v>98</v>
      </c>
    </row>
    <row r="25" spans="3:10" x14ac:dyDescent="0.25">
      <c r="C25" s="4" t="s">
        <v>18</v>
      </c>
      <c r="D25" s="1">
        <v>4</v>
      </c>
      <c r="F25" s="3" t="s">
        <v>10</v>
      </c>
      <c r="G25" s="5">
        <v>3</v>
      </c>
      <c r="I25" s="4" t="s">
        <v>20</v>
      </c>
      <c r="J25">
        <v>96</v>
      </c>
    </row>
    <row r="26" spans="3:10" x14ac:dyDescent="0.25">
      <c r="C26" s="3" t="s">
        <v>18</v>
      </c>
      <c r="D26" s="5">
        <v>0</v>
      </c>
      <c r="F26" s="4" t="s">
        <v>18</v>
      </c>
      <c r="G26" s="1">
        <v>0</v>
      </c>
      <c r="I26" s="4" t="s">
        <v>8</v>
      </c>
      <c r="J26">
        <v>77</v>
      </c>
    </row>
    <row r="27" spans="3:10" x14ac:dyDescent="0.25">
      <c r="C27" s="4" t="s">
        <v>10</v>
      </c>
      <c r="D27" s="1">
        <v>2</v>
      </c>
      <c r="F27" s="3" t="s">
        <v>10</v>
      </c>
      <c r="G27" s="5">
        <v>2</v>
      </c>
      <c r="I27" s="4" t="s">
        <v>14</v>
      </c>
      <c r="J27">
        <v>109</v>
      </c>
    </row>
    <row r="28" spans="3:10" x14ac:dyDescent="0.25">
      <c r="C28" s="3" t="s">
        <v>11</v>
      </c>
      <c r="D28" s="5">
        <v>2</v>
      </c>
      <c r="F28" s="4" t="s">
        <v>10</v>
      </c>
      <c r="G28" s="1">
        <v>4</v>
      </c>
      <c r="I28" s="4" t="s">
        <v>23</v>
      </c>
      <c r="J28">
        <v>66</v>
      </c>
    </row>
    <row r="29" spans="3:10" x14ac:dyDescent="0.25">
      <c r="C29" s="4" t="s">
        <v>10</v>
      </c>
      <c r="D29" s="1">
        <v>4</v>
      </c>
      <c r="F29" s="3" t="s">
        <v>23</v>
      </c>
      <c r="G29" s="5">
        <v>3</v>
      </c>
      <c r="I29" s="4" t="s">
        <v>41</v>
      </c>
      <c r="J29">
        <v>1485</v>
      </c>
    </row>
    <row r="30" spans="3:10" x14ac:dyDescent="0.25">
      <c r="C30" s="3" t="s">
        <v>23</v>
      </c>
      <c r="D30" s="5">
        <v>3</v>
      </c>
      <c r="F30" s="4" t="s">
        <v>20</v>
      </c>
      <c r="G30" s="1">
        <v>4</v>
      </c>
    </row>
    <row r="31" spans="3:10" x14ac:dyDescent="0.25">
      <c r="C31" s="4" t="s">
        <v>11</v>
      </c>
      <c r="D31" s="1">
        <v>4</v>
      </c>
      <c r="F31" s="3" t="s">
        <v>23</v>
      </c>
      <c r="G31" s="5">
        <v>3</v>
      </c>
    </row>
    <row r="32" spans="3:10" x14ac:dyDescent="0.25">
      <c r="C32" s="3" t="s">
        <v>11</v>
      </c>
      <c r="D32" s="5">
        <v>2</v>
      </c>
      <c r="F32" s="4" t="s">
        <v>14</v>
      </c>
      <c r="G32" s="1">
        <v>1</v>
      </c>
    </row>
    <row r="33" spans="3:10" x14ac:dyDescent="0.25">
      <c r="C33" s="4" t="s">
        <v>11</v>
      </c>
      <c r="D33" s="1">
        <v>3</v>
      </c>
      <c r="F33" s="3" t="s">
        <v>20</v>
      </c>
      <c r="G33" s="5">
        <v>3</v>
      </c>
    </row>
    <row r="34" spans="3:10" x14ac:dyDescent="0.25">
      <c r="C34" s="3" t="s">
        <v>20</v>
      </c>
      <c r="D34" s="5">
        <v>4</v>
      </c>
      <c r="F34" s="4" t="s">
        <v>13</v>
      </c>
      <c r="G34" s="1">
        <v>3</v>
      </c>
    </row>
    <row r="35" spans="3:10" x14ac:dyDescent="0.25">
      <c r="C35" s="4" t="s">
        <v>11</v>
      </c>
      <c r="D35" s="1">
        <v>2</v>
      </c>
      <c r="F35" s="3" t="s">
        <v>18</v>
      </c>
      <c r="G35" s="5">
        <v>4</v>
      </c>
    </row>
    <row r="36" spans="3:10" x14ac:dyDescent="0.25">
      <c r="C36" s="3" t="s">
        <v>23</v>
      </c>
      <c r="D36" s="5">
        <v>3</v>
      </c>
      <c r="F36" s="4" t="s">
        <v>8</v>
      </c>
      <c r="G36" s="1">
        <v>4</v>
      </c>
    </row>
    <row r="37" spans="3:10" x14ac:dyDescent="0.25">
      <c r="C37" s="4" t="s">
        <v>20</v>
      </c>
      <c r="D37" s="1">
        <v>6</v>
      </c>
      <c r="F37" s="3" t="s">
        <v>20</v>
      </c>
      <c r="G37" s="5">
        <v>1</v>
      </c>
    </row>
    <row r="38" spans="3:10" x14ac:dyDescent="0.25">
      <c r="C38" s="3" t="s">
        <v>11</v>
      </c>
      <c r="D38" s="5">
        <v>5</v>
      </c>
      <c r="F38" s="4" t="s">
        <v>13</v>
      </c>
      <c r="G38" s="1">
        <v>4</v>
      </c>
      <c r="I38" s="30" t="s">
        <v>48</v>
      </c>
      <c r="J38" t="s">
        <v>56</v>
      </c>
    </row>
    <row r="39" spans="3:10" x14ac:dyDescent="0.25">
      <c r="C39" s="4" t="s">
        <v>11</v>
      </c>
      <c r="D39" s="1">
        <v>2</v>
      </c>
      <c r="F39" s="3" t="s">
        <v>8</v>
      </c>
      <c r="G39" s="5">
        <v>1</v>
      </c>
      <c r="I39" s="4" t="s">
        <v>10</v>
      </c>
      <c r="J39">
        <v>58</v>
      </c>
    </row>
    <row r="40" spans="3:10" x14ac:dyDescent="0.25">
      <c r="C40" s="3" t="s">
        <v>11</v>
      </c>
      <c r="D40" s="5">
        <v>7</v>
      </c>
      <c r="F40" s="4" t="s">
        <v>8</v>
      </c>
      <c r="G40" s="1">
        <v>2</v>
      </c>
      <c r="I40" s="4" t="s">
        <v>13</v>
      </c>
      <c r="J40">
        <v>48</v>
      </c>
    </row>
    <row r="41" spans="3:10" x14ac:dyDescent="0.25">
      <c r="C41" s="4" t="s">
        <v>11</v>
      </c>
      <c r="D41" s="1">
        <v>5</v>
      </c>
      <c r="F41" s="3" t="s">
        <v>10</v>
      </c>
      <c r="G41" s="5">
        <v>1</v>
      </c>
      <c r="I41" s="4" t="s">
        <v>18</v>
      </c>
      <c r="J41">
        <v>57</v>
      </c>
    </row>
    <row r="42" spans="3:10" x14ac:dyDescent="0.25">
      <c r="C42" s="3" t="s">
        <v>11</v>
      </c>
      <c r="D42" s="5">
        <v>2</v>
      </c>
      <c r="F42" s="4" t="s">
        <v>23</v>
      </c>
      <c r="G42" s="1">
        <v>0</v>
      </c>
      <c r="I42" s="4" t="s">
        <v>22</v>
      </c>
      <c r="J42">
        <v>57</v>
      </c>
    </row>
    <row r="43" spans="3:10" x14ac:dyDescent="0.25">
      <c r="C43" s="4" t="s">
        <v>11</v>
      </c>
      <c r="D43" s="1">
        <v>4</v>
      </c>
      <c r="F43" s="3" t="s">
        <v>23</v>
      </c>
      <c r="G43" s="5">
        <v>3</v>
      </c>
      <c r="I43" s="4" t="s">
        <v>20</v>
      </c>
      <c r="J43">
        <v>71</v>
      </c>
    </row>
    <row r="44" spans="3:10" x14ac:dyDescent="0.25">
      <c r="C44" s="3" t="s">
        <v>14</v>
      </c>
      <c r="D44" s="5">
        <v>1</v>
      </c>
      <c r="F44" s="4" t="s">
        <v>23</v>
      </c>
      <c r="G44" s="1">
        <v>5</v>
      </c>
      <c r="I44" s="4" t="s">
        <v>8</v>
      </c>
      <c r="J44">
        <v>69</v>
      </c>
    </row>
    <row r="45" spans="3:10" x14ac:dyDescent="0.25">
      <c r="C45" s="4" t="s">
        <v>11</v>
      </c>
      <c r="D45" s="1">
        <v>5</v>
      </c>
      <c r="F45" s="3" t="s">
        <v>14</v>
      </c>
      <c r="G45" s="5">
        <v>5</v>
      </c>
      <c r="I45" s="4" t="s">
        <v>14</v>
      </c>
      <c r="J45">
        <v>74</v>
      </c>
    </row>
    <row r="46" spans="3:10" x14ac:dyDescent="0.25">
      <c r="C46" s="3" t="s">
        <v>20</v>
      </c>
      <c r="D46" s="5">
        <v>3</v>
      </c>
      <c r="F46" s="4" t="s">
        <v>8</v>
      </c>
      <c r="G46" s="1">
        <v>3</v>
      </c>
      <c r="I46" s="4" t="s">
        <v>23</v>
      </c>
      <c r="J46">
        <v>53</v>
      </c>
    </row>
    <row r="47" spans="3:10" x14ac:dyDescent="0.25">
      <c r="C47" s="4" t="s">
        <v>8</v>
      </c>
      <c r="D47" s="1">
        <v>6</v>
      </c>
      <c r="F47" s="3" t="s">
        <v>13</v>
      </c>
      <c r="G47" s="5">
        <v>0</v>
      </c>
      <c r="I47" s="4" t="s">
        <v>41</v>
      </c>
      <c r="J47">
        <v>487</v>
      </c>
    </row>
    <row r="48" spans="3:10" x14ac:dyDescent="0.25">
      <c r="C48" s="3" t="s">
        <v>11</v>
      </c>
      <c r="D48" s="5">
        <v>4</v>
      </c>
      <c r="F48" s="4" t="s">
        <v>20</v>
      </c>
      <c r="G48" s="1">
        <v>3</v>
      </c>
    </row>
    <row r="49" spans="3:10" x14ac:dyDescent="0.25">
      <c r="C49" s="4" t="s">
        <v>11</v>
      </c>
      <c r="D49" s="1">
        <v>4</v>
      </c>
      <c r="F49" s="3" t="s">
        <v>10</v>
      </c>
      <c r="G49" s="5">
        <v>1</v>
      </c>
    </row>
    <row r="50" spans="3:10" ht="15.75" thickBot="1" x14ac:dyDescent="0.3">
      <c r="C50" s="3" t="s">
        <v>11</v>
      </c>
      <c r="D50" s="5">
        <v>5</v>
      </c>
      <c r="F50" s="4" t="s">
        <v>20</v>
      </c>
      <c r="G50" s="1">
        <v>2</v>
      </c>
    </row>
    <row r="51" spans="3:10" ht="15.75" thickBot="1" x14ac:dyDescent="0.3">
      <c r="C51" s="4" t="s">
        <v>11</v>
      </c>
      <c r="D51" s="1">
        <v>5</v>
      </c>
      <c r="F51" s="3" t="s">
        <v>20</v>
      </c>
      <c r="G51" s="5">
        <v>0</v>
      </c>
      <c r="I51" s="39" t="s">
        <v>3</v>
      </c>
      <c r="J51" s="39" t="s">
        <v>4</v>
      </c>
    </row>
    <row r="52" spans="3:10" x14ac:dyDescent="0.25">
      <c r="C52" s="3" t="s">
        <v>13</v>
      </c>
      <c r="D52" s="5">
        <v>3</v>
      </c>
      <c r="F52" s="4" t="s">
        <v>18</v>
      </c>
      <c r="G52" s="1">
        <v>0</v>
      </c>
      <c r="I52" s="3" t="s">
        <v>8</v>
      </c>
      <c r="J52" s="5">
        <v>2</v>
      </c>
    </row>
    <row r="53" spans="3:10" x14ac:dyDescent="0.25">
      <c r="C53" s="4" t="s">
        <v>11</v>
      </c>
      <c r="D53" s="1">
        <v>4</v>
      </c>
      <c r="F53" s="3" t="s">
        <v>14</v>
      </c>
      <c r="G53" s="5">
        <v>4</v>
      </c>
      <c r="I53" s="4" t="s">
        <v>14</v>
      </c>
      <c r="J53" s="1">
        <v>1</v>
      </c>
    </row>
    <row r="54" spans="3:10" x14ac:dyDescent="0.25">
      <c r="C54" s="3" t="s">
        <v>11</v>
      </c>
      <c r="D54" s="5">
        <v>3</v>
      </c>
      <c r="F54" s="4" t="s">
        <v>8</v>
      </c>
      <c r="G54" s="1">
        <v>2</v>
      </c>
      <c r="I54" s="3" t="s">
        <v>20</v>
      </c>
      <c r="J54" s="5">
        <v>0</v>
      </c>
    </row>
    <row r="55" spans="3:10" x14ac:dyDescent="0.25">
      <c r="C55" s="4" t="s">
        <v>14</v>
      </c>
      <c r="D55" s="1">
        <v>5</v>
      </c>
      <c r="F55" s="3" t="s">
        <v>13</v>
      </c>
      <c r="G55" s="5">
        <v>0</v>
      </c>
      <c r="I55" s="4" t="s">
        <v>20</v>
      </c>
      <c r="J55" s="1">
        <v>4</v>
      </c>
    </row>
    <row r="56" spans="3:10" x14ac:dyDescent="0.25">
      <c r="C56" s="3" t="s">
        <v>11</v>
      </c>
      <c r="D56" s="5">
        <v>4</v>
      </c>
      <c r="F56" s="4" t="s">
        <v>8</v>
      </c>
      <c r="G56" s="1">
        <v>5</v>
      </c>
      <c r="I56" s="3" t="s">
        <v>11</v>
      </c>
      <c r="J56" s="5">
        <v>5</v>
      </c>
    </row>
    <row r="57" spans="3:10" x14ac:dyDescent="0.25">
      <c r="C57" s="4" t="s">
        <v>18</v>
      </c>
      <c r="D57" s="1">
        <v>4</v>
      </c>
      <c r="F57" s="3" t="s">
        <v>8</v>
      </c>
      <c r="G57" s="5">
        <v>2</v>
      </c>
      <c r="I57" s="4" t="s">
        <v>20</v>
      </c>
      <c r="J57" s="1">
        <v>0</v>
      </c>
    </row>
    <row r="58" spans="3:10" x14ac:dyDescent="0.25">
      <c r="C58" s="3" t="s">
        <v>14</v>
      </c>
      <c r="D58" s="5">
        <v>5</v>
      </c>
      <c r="F58" s="4" t="s">
        <v>14</v>
      </c>
      <c r="G58" s="1">
        <v>1</v>
      </c>
      <c r="I58" s="3" t="s">
        <v>10</v>
      </c>
      <c r="J58" s="5">
        <v>2</v>
      </c>
    </row>
    <row r="59" spans="3:10" x14ac:dyDescent="0.25">
      <c r="C59" s="4" t="s">
        <v>11</v>
      </c>
      <c r="D59" s="1">
        <v>5</v>
      </c>
      <c r="F59" s="3" t="s">
        <v>18</v>
      </c>
      <c r="G59" s="5">
        <v>2</v>
      </c>
      <c r="I59" s="4" t="s">
        <v>20</v>
      </c>
      <c r="J59" s="1">
        <v>5</v>
      </c>
    </row>
    <row r="60" spans="3:10" x14ac:dyDescent="0.25">
      <c r="C60" s="3" t="s">
        <v>11</v>
      </c>
      <c r="D60" s="5">
        <v>3</v>
      </c>
      <c r="F60" s="4" t="s">
        <v>8</v>
      </c>
      <c r="G60" s="1">
        <v>4</v>
      </c>
      <c r="I60" s="3" t="s">
        <v>8</v>
      </c>
      <c r="J60" s="5">
        <v>2</v>
      </c>
    </row>
    <row r="61" spans="3:10" x14ac:dyDescent="0.25">
      <c r="C61" s="4" t="s">
        <v>11</v>
      </c>
      <c r="D61" s="1">
        <v>5</v>
      </c>
      <c r="F61" s="3" t="s">
        <v>23</v>
      </c>
      <c r="G61" s="5">
        <v>0</v>
      </c>
      <c r="I61" s="4" t="s">
        <v>11</v>
      </c>
      <c r="J61" s="1">
        <v>5</v>
      </c>
    </row>
    <row r="62" spans="3:10" x14ac:dyDescent="0.25">
      <c r="C62" s="3" t="s">
        <v>11</v>
      </c>
      <c r="D62" s="5">
        <v>3</v>
      </c>
      <c r="F62" s="4" t="s">
        <v>18</v>
      </c>
      <c r="G62" s="1">
        <v>1</v>
      </c>
      <c r="I62" s="3" t="s">
        <v>10</v>
      </c>
      <c r="J62" s="5">
        <v>3</v>
      </c>
    </row>
    <row r="63" spans="3:10" x14ac:dyDescent="0.25">
      <c r="C63" s="4" t="s">
        <v>11</v>
      </c>
      <c r="D63" s="1">
        <v>3</v>
      </c>
      <c r="F63" s="3" t="s">
        <v>14</v>
      </c>
      <c r="G63" s="5">
        <v>4</v>
      </c>
      <c r="I63" s="4" t="s">
        <v>18</v>
      </c>
      <c r="J63" s="1">
        <v>0</v>
      </c>
    </row>
    <row r="64" spans="3:10" x14ac:dyDescent="0.25">
      <c r="C64" s="3" t="s">
        <v>8</v>
      </c>
      <c r="D64" s="5">
        <v>4</v>
      </c>
      <c r="F64" s="4" t="s">
        <v>13</v>
      </c>
      <c r="G64" s="1">
        <v>1</v>
      </c>
      <c r="I64" s="3" t="s">
        <v>10</v>
      </c>
      <c r="J64" s="5">
        <v>2</v>
      </c>
    </row>
    <row r="65" spans="3:10" x14ac:dyDescent="0.25">
      <c r="C65" s="4" t="s">
        <v>13</v>
      </c>
      <c r="D65" s="1">
        <v>2</v>
      </c>
      <c r="F65" s="3" t="s">
        <v>23</v>
      </c>
      <c r="G65" s="5">
        <v>1</v>
      </c>
      <c r="I65" s="4" t="s">
        <v>10</v>
      </c>
      <c r="J65" s="1">
        <v>4</v>
      </c>
    </row>
    <row r="66" spans="3:10" x14ac:dyDescent="0.25">
      <c r="C66" s="3" t="s">
        <v>20</v>
      </c>
      <c r="D66" s="5">
        <v>1</v>
      </c>
      <c r="F66" s="4" t="s">
        <v>14</v>
      </c>
      <c r="G66" s="1">
        <v>4</v>
      </c>
      <c r="I66" s="3" t="s">
        <v>23</v>
      </c>
      <c r="J66" s="5">
        <v>3</v>
      </c>
    </row>
    <row r="67" spans="3:10" x14ac:dyDescent="0.25">
      <c r="C67" s="4" t="s">
        <v>13</v>
      </c>
      <c r="D67" s="1">
        <v>5</v>
      </c>
      <c r="F67" s="3" t="s">
        <v>14</v>
      </c>
      <c r="G67" s="5">
        <v>3</v>
      </c>
      <c r="I67" s="4" t="s">
        <v>11</v>
      </c>
      <c r="J67" s="1">
        <v>4</v>
      </c>
    </row>
    <row r="68" spans="3:10" x14ac:dyDescent="0.25">
      <c r="C68" s="3" t="s">
        <v>11</v>
      </c>
      <c r="D68" s="5">
        <v>4</v>
      </c>
      <c r="F68" s="4" t="s">
        <v>10</v>
      </c>
      <c r="G68" s="1">
        <v>1</v>
      </c>
      <c r="I68" s="3" t="s">
        <v>11</v>
      </c>
      <c r="J68" s="5">
        <v>3</v>
      </c>
    </row>
    <row r="69" spans="3:10" x14ac:dyDescent="0.25">
      <c r="C69" s="4" t="s">
        <v>11</v>
      </c>
      <c r="D69" s="1">
        <v>4</v>
      </c>
      <c r="F69" s="3" t="s">
        <v>10</v>
      </c>
      <c r="G69" s="5">
        <v>2</v>
      </c>
      <c r="I69" s="4" t="s">
        <v>20</v>
      </c>
      <c r="J69" s="1">
        <v>4</v>
      </c>
    </row>
    <row r="70" spans="3:10" x14ac:dyDescent="0.25">
      <c r="C70" s="3" t="s">
        <v>13</v>
      </c>
      <c r="D70" s="5">
        <v>4</v>
      </c>
      <c r="F70" s="4" t="s">
        <v>20</v>
      </c>
      <c r="G70" s="1">
        <v>5</v>
      </c>
      <c r="I70" s="3" t="s">
        <v>11</v>
      </c>
      <c r="J70" s="5">
        <v>2</v>
      </c>
    </row>
    <row r="71" spans="3:10" x14ac:dyDescent="0.25">
      <c r="C71" s="4" t="s">
        <v>11</v>
      </c>
      <c r="D71" s="1">
        <v>4</v>
      </c>
      <c r="F71" s="3" t="s">
        <v>10</v>
      </c>
      <c r="G71" s="5">
        <v>1</v>
      </c>
      <c r="I71" s="4" t="s">
        <v>23</v>
      </c>
      <c r="J71" s="1">
        <v>3</v>
      </c>
    </row>
    <row r="72" spans="3:10" x14ac:dyDescent="0.25">
      <c r="C72" s="3" t="s">
        <v>23</v>
      </c>
      <c r="D72" s="5">
        <v>2</v>
      </c>
      <c r="F72" s="4" t="s">
        <v>13</v>
      </c>
      <c r="G72" s="1">
        <v>2</v>
      </c>
      <c r="I72" s="3" t="s">
        <v>11</v>
      </c>
      <c r="J72" s="5">
        <v>2</v>
      </c>
    </row>
    <row r="73" spans="3:10" x14ac:dyDescent="0.25">
      <c r="C73" s="4" t="s">
        <v>8</v>
      </c>
      <c r="D73" s="1">
        <v>1</v>
      </c>
      <c r="F73" s="3" t="s">
        <v>20</v>
      </c>
      <c r="G73" s="5">
        <v>5</v>
      </c>
      <c r="I73" s="4" t="s">
        <v>11</v>
      </c>
      <c r="J73" s="1">
        <v>7</v>
      </c>
    </row>
    <row r="74" spans="3:10" x14ac:dyDescent="0.25">
      <c r="C74" s="3" t="s">
        <v>8</v>
      </c>
      <c r="D74" s="5">
        <v>2</v>
      </c>
      <c r="F74" s="4" t="s">
        <v>8</v>
      </c>
      <c r="G74" s="1">
        <v>1</v>
      </c>
      <c r="I74" s="3" t="s">
        <v>11</v>
      </c>
      <c r="J74" s="5">
        <v>2</v>
      </c>
    </row>
    <row r="75" spans="3:10" x14ac:dyDescent="0.25">
      <c r="C75" s="4" t="s">
        <v>14</v>
      </c>
      <c r="D75" s="1">
        <v>0</v>
      </c>
      <c r="F75" s="3" t="s">
        <v>14</v>
      </c>
      <c r="G75" s="5">
        <v>1</v>
      </c>
      <c r="I75" s="4" t="s">
        <v>14</v>
      </c>
      <c r="J75" s="1">
        <v>1</v>
      </c>
    </row>
    <row r="76" spans="3:10" x14ac:dyDescent="0.25">
      <c r="C76" s="3" t="s">
        <v>8</v>
      </c>
      <c r="D76" s="5">
        <v>1</v>
      </c>
      <c r="F76" s="4" t="s">
        <v>13</v>
      </c>
      <c r="G76" s="1">
        <v>5</v>
      </c>
      <c r="I76" s="3" t="s">
        <v>20</v>
      </c>
      <c r="J76" s="5">
        <v>3</v>
      </c>
    </row>
    <row r="77" spans="3:10" x14ac:dyDescent="0.25">
      <c r="C77" s="4" t="s">
        <v>10</v>
      </c>
      <c r="D77" s="1">
        <v>1</v>
      </c>
      <c r="F77" s="3" t="s">
        <v>20</v>
      </c>
      <c r="G77" s="5">
        <v>3</v>
      </c>
      <c r="I77" s="4" t="s">
        <v>13</v>
      </c>
      <c r="J77" s="1">
        <v>3</v>
      </c>
    </row>
    <row r="78" spans="3:10" x14ac:dyDescent="0.25">
      <c r="C78" s="3" t="s">
        <v>16</v>
      </c>
      <c r="D78" s="5">
        <v>1</v>
      </c>
      <c r="F78" s="4" t="s">
        <v>14</v>
      </c>
      <c r="G78" s="1">
        <v>4</v>
      </c>
      <c r="I78" s="3" t="s">
        <v>18</v>
      </c>
      <c r="J78" s="5">
        <v>4</v>
      </c>
    </row>
    <row r="79" spans="3:10" x14ac:dyDescent="0.25">
      <c r="C79" s="4" t="s">
        <v>10</v>
      </c>
      <c r="D79" s="1">
        <v>1</v>
      </c>
      <c r="F79" s="3" t="s">
        <v>14</v>
      </c>
      <c r="G79" s="5">
        <v>3</v>
      </c>
      <c r="I79" s="4" t="s">
        <v>11</v>
      </c>
      <c r="J79" s="1">
        <v>3</v>
      </c>
    </row>
    <row r="80" spans="3:10" x14ac:dyDescent="0.25">
      <c r="C80" s="3" t="s">
        <v>23</v>
      </c>
      <c r="D80" s="5">
        <v>0</v>
      </c>
      <c r="F80" s="4" t="s">
        <v>22</v>
      </c>
      <c r="G80" s="1">
        <v>3</v>
      </c>
      <c r="I80" s="3" t="s">
        <v>8</v>
      </c>
      <c r="J80" s="5">
        <v>4</v>
      </c>
    </row>
    <row r="81" spans="3:10" x14ac:dyDescent="0.25">
      <c r="C81" s="4" t="s">
        <v>11</v>
      </c>
      <c r="D81" s="1">
        <v>5</v>
      </c>
      <c r="F81" s="3" t="s">
        <v>8</v>
      </c>
      <c r="G81" s="5">
        <v>3</v>
      </c>
      <c r="I81" s="4" t="s">
        <v>20</v>
      </c>
      <c r="J81" s="1">
        <v>1</v>
      </c>
    </row>
    <row r="82" spans="3:10" x14ac:dyDescent="0.25">
      <c r="C82" s="3" t="s">
        <v>23</v>
      </c>
      <c r="D82" s="5">
        <v>3</v>
      </c>
      <c r="F82" s="4" t="s">
        <v>13</v>
      </c>
      <c r="G82" s="1">
        <v>0</v>
      </c>
      <c r="I82" s="3" t="s">
        <v>13</v>
      </c>
      <c r="J82" s="5">
        <v>4</v>
      </c>
    </row>
    <row r="83" spans="3:10" x14ac:dyDescent="0.25">
      <c r="C83" s="4" t="s">
        <v>23</v>
      </c>
      <c r="D83" s="1">
        <v>5</v>
      </c>
      <c r="F83" s="3" t="s">
        <v>18</v>
      </c>
      <c r="G83" s="5">
        <v>4</v>
      </c>
      <c r="I83" s="4" t="s">
        <v>8</v>
      </c>
      <c r="J83" s="1">
        <v>1</v>
      </c>
    </row>
    <row r="84" spans="3:10" x14ac:dyDescent="0.25">
      <c r="C84" s="3" t="s">
        <v>13</v>
      </c>
      <c r="D84" s="5">
        <v>3</v>
      </c>
      <c r="F84" s="4" t="s">
        <v>22</v>
      </c>
      <c r="G84" s="1">
        <v>1</v>
      </c>
      <c r="I84" s="3" t="s">
        <v>8</v>
      </c>
      <c r="J84" s="5">
        <v>2</v>
      </c>
    </row>
    <row r="85" spans="3:10" x14ac:dyDescent="0.25">
      <c r="C85" s="4" t="s">
        <v>11</v>
      </c>
      <c r="D85" s="1">
        <v>3</v>
      </c>
      <c r="F85" s="3" t="s">
        <v>14</v>
      </c>
      <c r="G85" s="5">
        <v>5</v>
      </c>
      <c r="I85" s="4" t="s">
        <v>10</v>
      </c>
      <c r="J85" s="1">
        <v>1</v>
      </c>
    </row>
    <row r="86" spans="3:10" x14ac:dyDescent="0.25">
      <c r="C86" s="3" t="s">
        <v>14</v>
      </c>
      <c r="D86" s="5">
        <v>5</v>
      </c>
      <c r="F86" s="4" t="s">
        <v>23</v>
      </c>
      <c r="G86" s="1">
        <v>2</v>
      </c>
      <c r="I86" s="3" t="s">
        <v>23</v>
      </c>
      <c r="J86" s="5">
        <v>0</v>
      </c>
    </row>
    <row r="87" spans="3:10" x14ac:dyDescent="0.25">
      <c r="C87" s="4" t="s">
        <v>8</v>
      </c>
      <c r="D87" s="1">
        <v>3</v>
      </c>
      <c r="F87" s="3" t="s">
        <v>20</v>
      </c>
      <c r="G87" s="5">
        <v>1</v>
      </c>
      <c r="I87" s="4" t="s">
        <v>23</v>
      </c>
      <c r="J87" s="1">
        <v>3</v>
      </c>
    </row>
    <row r="88" spans="3:10" x14ac:dyDescent="0.25">
      <c r="C88" s="3" t="s">
        <v>13</v>
      </c>
      <c r="D88" s="5">
        <v>0</v>
      </c>
      <c r="F88" s="4" t="s">
        <v>20</v>
      </c>
      <c r="G88" s="1">
        <v>2</v>
      </c>
      <c r="I88" s="3" t="s">
        <v>23</v>
      </c>
      <c r="J88" s="5">
        <v>5</v>
      </c>
    </row>
    <row r="89" spans="3:10" x14ac:dyDescent="0.25">
      <c r="C89" s="4" t="s">
        <v>11</v>
      </c>
      <c r="D89" s="1">
        <v>4</v>
      </c>
      <c r="F89" s="3" t="s">
        <v>22</v>
      </c>
      <c r="G89" s="5">
        <v>1</v>
      </c>
      <c r="I89" s="4" t="s">
        <v>14</v>
      </c>
      <c r="J89" s="1">
        <v>5</v>
      </c>
    </row>
    <row r="90" spans="3:10" x14ac:dyDescent="0.25">
      <c r="C90" s="3" t="s">
        <v>14</v>
      </c>
      <c r="D90" s="5">
        <v>4</v>
      </c>
      <c r="F90" s="4" t="s">
        <v>8</v>
      </c>
      <c r="G90" s="1">
        <v>4</v>
      </c>
      <c r="I90" s="3" t="s">
        <v>8</v>
      </c>
      <c r="J90" s="5">
        <v>3</v>
      </c>
    </row>
    <row r="91" spans="3:10" x14ac:dyDescent="0.25">
      <c r="C91" s="4" t="s">
        <v>20</v>
      </c>
      <c r="D91" s="1">
        <v>3</v>
      </c>
      <c r="F91" s="3" t="s">
        <v>10</v>
      </c>
      <c r="G91" s="5">
        <v>1</v>
      </c>
      <c r="I91" s="4" t="s">
        <v>13</v>
      </c>
      <c r="J91" s="1">
        <v>0</v>
      </c>
    </row>
    <row r="92" spans="3:10" x14ac:dyDescent="0.25">
      <c r="C92" s="3" t="s">
        <v>10</v>
      </c>
      <c r="D92" s="5">
        <v>1</v>
      </c>
      <c r="F92" s="4" t="s">
        <v>18</v>
      </c>
      <c r="G92" s="1">
        <v>3</v>
      </c>
      <c r="I92" s="3" t="s">
        <v>20</v>
      </c>
      <c r="J92" s="5">
        <v>3</v>
      </c>
    </row>
    <row r="93" spans="3:10" x14ac:dyDescent="0.25">
      <c r="C93" s="4" t="s">
        <v>20</v>
      </c>
      <c r="D93" s="1">
        <v>2</v>
      </c>
      <c r="F93" s="3" t="s">
        <v>23</v>
      </c>
      <c r="G93" s="5">
        <v>2</v>
      </c>
      <c r="I93" s="4" t="s">
        <v>10</v>
      </c>
      <c r="J93" s="1">
        <v>1</v>
      </c>
    </row>
    <row r="94" spans="3:10" x14ac:dyDescent="0.25">
      <c r="C94" s="3" t="s">
        <v>18</v>
      </c>
      <c r="D94" s="5">
        <v>1</v>
      </c>
      <c r="F94" s="4" t="s">
        <v>23</v>
      </c>
      <c r="G94" s="1">
        <v>4</v>
      </c>
      <c r="I94" s="3" t="s">
        <v>20</v>
      </c>
      <c r="J94" s="5">
        <v>2</v>
      </c>
    </row>
    <row r="95" spans="3:10" x14ac:dyDescent="0.25">
      <c r="C95" s="4" t="s">
        <v>14</v>
      </c>
      <c r="D95" s="1">
        <v>4</v>
      </c>
      <c r="F95" s="3" t="s">
        <v>22</v>
      </c>
      <c r="G95" s="5">
        <v>4</v>
      </c>
      <c r="I95" s="4" t="s">
        <v>20</v>
      </c>
      <c r="J95" s="1">
        <v>0</v>
      </c>
    </row>
    <row r="96" spans="3:10" x14ac:dyDescent="0.25">
      <c r="C96" s="3" t="s">
        <v>20</v>
      </c>
      <c r="D96" s="5">
        <v>0</v>
      </c>
      <c r="F96" s="4" t="s">
        <v>22</v>
      </c>
      <c r="G96" s="1">
        <v>0</v>
      </c>
      <c r="I96" s="3" t="s">
        <v>18</v>
      </c>
      <c r="J96" s="5">
        <v>0</v>
      </c>
    </row>
    <row r="97" spans="3:10" x14ac:dyDescent="0.25">
      <c r="C97" s="4" t="s">
        <v>18</v>
      </c>
      <c r="D97" s="1">
        <v>0</v>
      </c>
      <c r="F97" s="3" t="s">
        <v>10</v>
      </c>
      <c r="G97" s="5">
        <v>1</v>
      </c>
      <c r="I97" s="4" t="s">
        <v>14</v>
      </c>
      <c r="J97" s="1">
        <v>4</v>
      </c>
    </row>
    <row r="98" spans="3:10" x14ac:dyDescent="0.25">
      <c r="C98" s="3" t="s">
        <v>14</v>
      </c>
      <c r="D98" s="5">
        <v>4</v>
      </c>
      <c r="F98" s="4" t="s">
        <v>22</v>
      </c>
      <c r="G98" s="1">
        <v>2</v>
      </c>
      <c r="I98" s="3" t="s">
        <v>8</v>
      </c>
      <c r="J98" s="5">
        <v>2</v>
      </c>
    </row>
    <row r="99" spans="3:10" x14ac:dyDescent="0.25">
      <c r="C99" s="4" t="s">
        <v>8</v>
      </c>
      <c r="D99" s="1">
        <v>2</v>
      </c>
      <c r="F99" s="3" t="s">
        <v>14</v>
      </c>
      <c r="G99" s="5">
        <v>2</v>
      </c>
      <c r="I99" s="4" t="s">
        <v>16</v>
      </c>
      <c r="J99" s="1">
        <v>4</v>
      </c>
    </row>
    <row r="100" spans="3:10" x14ac:dyDescent="0.25">
      <c r="C100" s="3" t="s">
        <v>11</v>
      </c>
      <c r="D100" s="5">
        <v>3</v>
      </c>
      <c r="F100" s="4" t="s">
        <v>10</v>
      </c>
      <c r="G100" s="1">
        <v>0</v>
      </c>
      <c r="I100" s="3" t="s">
        <v>13</v>
      </c>
      <c r="J100" s="5">
        <v>0</v>
      </c>
    </row>
    <row r="101" spans="3:10" x14ac:dyDescent="0.25">
      <c r="C101" s="4" t="s">
        <v>11</v>
      </c>
      <c r="D101" s="1">
        <v>4</v>
      </c>
      <c r="F101" s="3" t="s">
        <v>23</v>
      </c>
      <c r="G101" s="5">
        <v>0</v>
      </c>
      <c r="I101" s="4" t="s">
        <v>8</v>
      </c>
      <c r="J101" s="1">
        <v>5</v>
      </c>
    </row>
    <row r="102" spans="3:10" x14ac:dyDescent="0.25">
      <c r="C102" s="3" t="s">
        <v>16</v>
      </c>
      <c r="D102" s="5">
        <v>4</v>
      </c>
      <c r="F102" s="4" t="s">
        <v>23</v>
      </c>
      <c r="G102" s="1">
        <v>0</v>
      </c>
      <c r="I102" s="3" t="s">
        <v>8</v>
      </c>
      <c r="J102" s="5">
        <v>2</v>
      </c>
    </row>
    <row r="103" spans="3:10" x14ac:dyDescent="0.25">
      <c r="C103" s="4" t="s">
        <v>11</v>
      </c>
      <c r="D103" s="1">
        <v>5</v>
      </c>
      <c r="F103" s="3" t="s">
        <v>23</v>
      </c>
      <c r="G103" s="5">
        <v>2</v>
      </c>
      <c r="I103" s="4" t="s">
        <v>11</v>
      </c>
      <c r="J103" s="1">
        <v>1</v>
      </c>
    </row>
    <row r="104" spans="3:10" x14ac:dyDescent="0.25">
      <c r="C104" s="3" t="s">
        <v>13</v>
      </c>
      <c r="D104" s="5">
        <v>0</v>
      </c>
      <c r="F104" s="4" t="s">
        <v>13</v>
      </c>
      <c r="G104" s="1">
        <v>0</v>
      </c>
      <c r="I104" s="3" t="s">
        <v>14</v>
      </c>
      <c r="J104" s="5">
        <v>1</v>
      </c>
    </row>
    <row r="105" spans="3:10" x14ac:dyDescent="0.25">
      <c r="C105" s="4" t="s">
        <v>8</v>
      </c>
      <c r="D105" s="1">
        <v>5</v>
      </c>
      <c r="F105" s="3" t="s">
        <v>23</v>
      </c>
      <c r="G105" s="5">
        <v>5</v>
      </c>
      <c r="I105" s="4" t="s">
        <v>18</v>
      </c>
      <c r="J105" s="1">
        <v>2</v>
      </c>
    </row>
    <row r="106" spans="3:10" x14ac:dyDescent="0.25">
      <c r="C106" s="3" t="s">
        <v>11</v>
      </c>
      <c r="D106" s="5">
        <v>5</v>
      </c>
      <c r="F106" s="4" t="s">
        <v>8</v>
      </c>
      <c r="G106" s="1">
        <v>0</v>
      </c>
      <c r="I106" s="3" t="s">
        <v>11</v>
      </c>
      <c r="J106" s="5">
        <v>1</v>
      </c>
    </row>
    <row r="107" spans="3:10" x14ac:dyDescent="0.25">
      <c r="C107" s="4" t="s">
        <v>8</v>
      </c>
      <c r="D107" s="1">
        <v>2</v>
      </c>
      <c r="F107" s="3" t="s">
        <v>8</v>
      </c>
      <c r="G107" s="5">
        <v>5</v>
      </c>
      <c r="I107" s="4" t="s">
        <v>8</v>
      </c>
      <c r="J107" s="1">
        <v>4</v>
      </c>
    </row>
    <row r="108" spans="3:10" x14ac:dyDescent="0.25">
      <c r="C108" s="3" t="s">
        <v>11</v>
      </c>
      <c r="D108" s="5">
        <v>1</v>
      </c>
      <c r="F108" s="4" t="s">
        <v>10</v>
      </c>
      <c r="G108" s="1">
        <v>2</v>
      </c>
      <c r="I108" s="3" t="s">
        <v>11</v>
      </c>
      <c r="J108" s="5">
        <v>2</v>
      </c>
    </row>
    <row r="109" spans="3:10" x14ac:dyDescent="0.25">
      <c r="C109" s="4" t="s">
        <v>11</v>
      </c>
      <c r="D109" s="1">
        <v>4</v>
      </c>
      <c r="F109" s="3" t="s">
        <v>13</v>
      </c>
      <c r="G109" s="5">
        <v>0</v>
      </c>
      <c r="I109" s="4" t="s">
        <v>23</v>
      </c>
      <c r="J109" s="1">
        <v>0</v>
      </c>
    </row>
    <row r="110" spans="3:10" x14ac:dyDescent="0.25">
      <c r="C110" s="3" t="s">
        <v>14</v>
      </c>
      <c r="D110" s="5">
        <v>1</v>
      </c>
      <c r="F110" s="4" t="s">
        <v>14</v>
      </c>
      <c r="G110" s="1">
        <v>3</v>
      </c>
      <c r="I110" s="3" t="s">
        <v>18</v>
      </c>
      <c r="J110" s="5">
        <v>1</v>
      </c>
    </row>
    <row r="111" spans="3:10" x14ac:dyDescent="0.25">
      <c r="C111" s="4" t="s">
        <v>18</v>
      </c>
      <c r="D111" s="1">
        <v>2</v>
      </c>
      <c r="F111" s="3" t="s">
        <v>22</v>
      </c>
      <c r="G111" s="5">
        <v>5</v>
      </c>
      <c r="I111" s="4" t="s">
        <v>16</v>
      </c>
      <c r="J111" s="1">
        <v>0</v>
      </c>
    </row>
    <row r="112" spans="3:10" x14ac:dyDescent="0.25">
      <c r="C112" s="3" t="s">
        <v>11</v>
      </c>
      <c r="D112" s="5">
        <v>1</v>
      </c>
      <c r="F112" s="4" t="s">
        <v>23</v>
      </c>
      <c r="G112" s="1">
        <v>3</v>
      </c>
      <c r="I112" s="3" t="s">
        <v>11</v>
      </c>
      <c r="J112" s="5">
        <v>4</v>
      </c>
    </row>
    <row r="113" spans="3:10" x14ac:dyDescent="0.25">
      <c r="C113" s="4" t="s">
        <v>11</v>
      </c>
      <c r="D113" s="1">
        <v>4</v>
      </c>
      <c r="F113" s="3" t="s">
        <v>10</v>
      </c>
      <c r="G113" s="5">
        <v>5</v>
      </c>
      <c r="I113" s="4" t="s">
        <v>14</v>
      </c>
      <c r="J113" s="1">
        <v>4</v>
      </c>
    </row>
    <row r="114" spans="3:10" x14ac:dyDescent="0.25">
      <c r="C114" s="3" t="s">
        <v>11</v>
      </c>
      <c r="D114" s="5">
        <v>4</v>
      </c>
      <c r="F114" s="4" t="s">
        <v>14</v>
      </c>
      <c r="G114" s="1">
        <v>2</v>
      </c>
      <c r="I114" s="3" t="s">
        <v>13</v>
      </c>
      <c r="J114" s="5">
        <v>1</v>
      </c>
    </row>
    <row r="115" spans="3:10" x14ac:dyDescent="0.25">
      <c r="C115" s="4" t="s">
        <v>8</v>
      </c>
      <c r="D115" s="1">
        <v>4</v>
      </c>
      <c r="F115" s="3" t="s">
        <v>8</v>
      </c>
      <c r="G115" s="5">
        <v>0</v>
      </c>
      <c r="I115" s="4" t="s">
        <v>16</v>
      </c>
      <c r="J115" s="1">
        <v>0</v>
      </c>
    </row>
    <row r="116" spans="3:10" x14ac:dyDescent="0.25">
      <c r="C116" s="3" t="s">
        <v>11</v>
      </c>
      <c r="D116" s="5">
        <v>2</v>
      </c>
      <c r="F116" s="4" t="s">
        <v>8</v>
      </c>
      <c r="G116" s="1">
        <v>5</v>
      </c>
      <c r="I116" s="3" t="s">
        <v>23</v>
      </c>
      <c r="J116" s="5">
        <v>1</v>
      </c>
    </row>
    <row r="117" spans="3:10" x14ac:dyDescent="0.25">
      <c r="C117" s="4" t="s">
        <v>11</v>
      </c>
      <c r="D117" s="1">
        <v>4</v>
      </c>
      <c r="F117" s="3" t="s">
        <v>10</v>
      </c>
      <c r="G117" s="5">
        <v>1</v>
      </c>
      <c r="I117" s="4" t="s">
        <v>14</v>
      </c>
      <c r="J117" s="1">
        <v>4</v>
      </c>
    </row>
    <row r="118" spans="3:10" x14ac:dyDescent="0.25">
      <c r="C118" s="3" t="s">
        <v>14</v>
      </c>
      <c r="D118" s="5">
        <v>4</v>
      </c>
      <c r="F118" s="4" t="s">
        <v>8</v>
      </c>
      <c r="G118" s="1">
        <v>5</v>
      </c>
      <c r="I118" s="3" t="s">
        <v>11</v>
      </c>
      <c r="J118" s="5">
        <v>2</v>
      </c>
    </row>
    <row r="119" spans="3:10" x14ac:dyDescent="0.25">
      <c r="C119" s="4" t="s">
        <v>23</v>
      </c>
      <c r="D119" s="1">
        <v>0</v>
      </c>
      <c r="F119" s="3" t="s">
        <v>10</v>
      </c>
      <c r="G119" s="5">
        <v>5</v>
      </c>
      <c r="I119" s="4" t="s">
        <v>11</v>
      </c>
      <c r="J119" s="1">
        <v>2</v>
      </c>
    </row>
    <row r="120" spans="3:10" x14ac:dyDescent="0.25">
      <c r="C120" s="3" t="s">
        <v>18</v>
      </c>
      <c r="D120" s="5">
        <v>1</v>
      </c>
      <c r="F120" s="4" t="s">
        <v>18</v>
      </c>
      <c r="G120" s="1">
        <v>2</v>
      </c>
      <c r="I120" s="3" t="s">
        <v>14</v>
      </c>
      <c r="J120" s="5">
        <v>3</v>
      </c>
    </row>
    <row r="121" spans="3:10" x14ac:dyDescent="0.25">
      <c r="C121" s="4" t="s">
        <v>16</v>
      </c>
      <c r="D121" s="1">
        <v>0</v>
      </c>
      <c r="F121" s="3" t="s">
        <v>14</v>
      </c>
      <c r="G121" s="5">
        <v>4</v>
      </c>
      <c r="I121" s="4" t="s">
        <v>10</v>
      </c>
      <c r="J121" s="1">
        <v>1</v>
      </c>
    </row>
    <row r="122" spans="3:10" x14ac:dyDescent="0.25">
      <c r="C122" s="3" t="s">
        <v>11</v>
      </c>
      <c r="D122" s="5">
        <v>4</v>
      </c>
      <c r="F122" s="4" t="s">
        <v>20</v>
      </c>
      <c r="G122" s="1">
        <v>0</v>
      </c>
      <c r="I122" s="3" t="s">
        <v>10</v>
      </c>
      <c r="J122" s="5">
        <v>2</v>
      </c>
    </row>
    <row r="123" spans="3:10" x14ac:dyDescent="0.25">
      <c r="C123" s="4" t="s">
        <v>11</v>
      </c>
      <c r="D123" s="1">
        <v>5</v>
      </c>
      <c r="F123" s="3" t="s">
        <v>10</v>
      </c>
      <c r="G123" s="5">
        <v>3</v>
      </c>
      <c r="I123" s="4" t="s">
        <v>11</v>
      </c>
      <c r="J123" s="1">
        <v>2</v>
      </c>
    </row>
    <row r="124" spans="3:10" x14ac:dyDescent="0.25">
      <c r="C124" s="3" t="s">
        <v>11</v>
      </c>
      <c r="D124" s="5">
        <v>4</v>
      </c>
      <c r="F124" s="4" t="s">
        <v>13</v>
      </c>
      <c r="G124" s="1">
        <v>0</v>
      </c>
      <c r="I124" s="3" t="s">
        <v>20</v>
      </c>
      <c r="J124" s="5">
        <v>5</v>
      </c>
    </row>
    <row r="125" spans="3:10" x14ac:dyDescent="0.25">
      <c r="C125" s="4" t="s">
        <v>14</v>
      </c>
      <c r="D125" s="1">
        <v>4</v>
      </c>
      <c r="F125" s="3" t="s">
        <v>10</v>
      </c>
      <c r="G125" s="5">
        <v>1</v>
      </c>
      <c r="I125" s="4" t="s">
        <v>10</v>
      </c>
      <c r="J125" s="1">
        <v>1</v>
      </c>
    </row>
    <row r="126" spans="3:10" x14ac:dyDescent="0.25">
      <c r="C126" s="3" t="s">
        <v>13</v>
      </c>
      <c r="D126" s="5">
        <v>1</v>
      </c>
      <c r="F126" s="4" t="s">
        <v>22</v>
      </c>
      <c r="G126" s="1">
        <v>2</v>
      </c>
      <c r="I126" s="3" t="s">
        <v>16</v>
      </c>
      <c r="J126" s="5">
        <v>1</v>
      </c>
    </row>
    <row r="127" spans="3:10" x14ac:dyDescent="0.25">
      <c r="C127" s="4" t="s">
        <v>10</v>
      </c>
      <c r="D127" s="1">
        <v>3</v>
      </c>
      <c r="F127" s="3" t="s">
        <v>13</v>
      </c>
      <c r="G127" s="5">
        <v>2</v>
      </c>
      <c r="I127" s="4" t="s">
        <v>11</v>
      </c>
      <c r="J127" s="1">
        <v>4</v>
      </c>
    </row>
    <row r="128" spans="3:10" x14ac:dyDescent="0.25">
      <c r="C128" s="3" t="s">
        <v>16</v>
      </c>
      <c r="D128" s="5">
        <v>0</v>
      </c>
      <c r="F128" s="4" t="s">
        <v>18</v>
      </c>
      <c r="G128" s="1">
        <v>0</v>
      </c>
      <c r="I128" s="3" t="s">
        <v>13</v>
      </c>
      <c r="J128" s="5">
        <v>2</v>
      </c>
    </row>
    <row r="129" spans="3:10" x14ac:dyDescent="0.25">
      <c r="C129" s="4" t="s">
        <v>23</v>
      </c>
      <c r="D129" s="1">
        <v>1</v>
      </c>
      <c r="F129" s="3" t="s">
        <v>8</v>
      </c>
      <c r="G129" s="5">
        <v>0</v>
      </c>
      <c r="I129" s="4" t="s">
        <v>20</v>
      </c>
      <c r="J129" s="1">
        <v>5</v>
      </c>
    </row>
    <row r="130" spans="3:10" x14ac:dyDescent="0.25">
      <c r="C130" s="3" t="s">
        <v>14</v>
      </c>
      <c r="D130" s="5">
        <v>4</v>
      </c>
      <c r="F130" s="4" t="s">
        <v>20</v>
      </c>
      <c r="G130" s="1">
        <v>0</v>
      </c>
      <c r="I130" s="3" t="s">
        <v>8</v>
      </c>
      <c r="J130" s="5">
        <v>1</v>
      </c>
    </row>
    <row r="131" spans="3:10" x14ac:dyDescent="0.25">
      <c r="C131" s="4" t="s">
        <v>11</v>
      </c>
      <c r="D131" s="1">
        <v>2</v>
      </c>
      <c r="F131" s="3" t="s">
        <v>22</v>
      </c>
      <c r="G131" s="5">
        <v>3</v>
      </c>
      <c r="I131" s="4" t="s">
        <v>11</v>
      </c>
      <c r="J131" s="1">
        <v>3</v>
      </c>
    </row>
    <row r="132" spans="3:10" x14ac:dyDescent="0.25">
      <c r="C132" s="3" t="s">
        <v>11</v>
      </c>
      <c r="D132" s="5">
        <v>4</v>
      </c>
      <c r="F132" s="4" t="s">
        <v>14</v>
      </c>
      <c r="G132" s="1">
        <v>4</v>
      </c>
      <c r="I132" s="3" t="s">
        <v>11</v>
      </c>
      <c r="J132" s="5">
        <v>6</v>
      </c>
    </row>
    <row r="133" spans="3:10" x14ac:dyDescent="0.25">
      <c r="C133" s="4" t="s">
        <v>11</v>
      </c>
      <c r="D133" s="1">
        <v>2</v>
      </c>
      <c r="F133" s="3" t="s">
        <v>22</v>
      </c>
      <c r="G133" s="5">
        <v>0</v>
      </c>
      <c r="I133" s="4" t="s">
        <v>14</v>
      </c>
      <c r="J133" s="1">
        <v>1</v>
      </c>
    </row>
    <row r="134" spans="3:10" x14ac:dyDescent="0.25">
      <c r="C134" s="3" t="s">
        <v>11</v>
      </c>
      <c r="D134" s="5">
        <v>5</v>
      </c>
      <c r="F134" s="4" t="s">
        <v>13</v>
      </c>
      <c r="G134" s="1">
        <v>3</v>
      </c>
      <c r="I134" s="3" t="s">
        <v>13</v>
      </c>
      <c r="J134" s="5">
        <v>5</v>
      </c>
    </row>
    <row r="135" spans="3:10" x14ac:dyDescent="0.25">
      <c r="C135" s="4" t="s">
        <v>11</v>
      </c>
      <c r="D135" s="1">
        <v>4</v>
      </c>
      <c r="F135" s="3" t="s">
        <v>18</v>
      </c>
      <c r="G135" s="5">
        <v>2</v>
      </c>
      <c r="I135" s="4" t="s">
        <v>20</v>
      </c>
      <c r="J135" s="1">
        <v>3</v>
      </c>
    </row>
    <row r="136" spans="3:10" x14ac:dyDescent="0.25">
      <c r="C136" s="3" t="s">
        <v>14</v>
      </c>
      <c r="D136" s="5">
        <v>3</v>
      </c>
      <c r="F136" s="4" t="s">
        <v>8</v>
      </c>
      <c r="G136" s="1">
        <v>2</v>
      </c>
      <c r="I136" s="3" t="s">
        <v>14</v>
      </c>
      <c r="J136" s="5">
        <v>4</v>
      </c>
    </row>
    <row r="137" spans="3:10" x14ac:dyDescent="0.25">
      <c r="C137" s="4" t="s">
        <v>10</v>
      </c>
      <c r="D137" s="1">
        <v>1</v>
      </c>
      <c r="F137" s="3" t="s">
        <v>13</v>
      </c>
      <c r="G137" s="5">
        <v>1</v>
      </c>
      <c r="I137" s="4" t="s">
        <v>14</v>
      </c>
      <c r="J137" s="1">
        <v>3</v>
      </c>
    </row>
    <row r="138" spans="3:10" x14ac:dyDescent="0.25">
      <c r="C138" s="3" t="s">
        <v>11</v>
      </c>
      <c r="D138" s="5">
        <v>5</v>
      </c>
      <c r="F138" s="4" t="s">
        <v>23</v>
      </c>
      <c r="G138" s="1">
        <v>1</v>
      </c>
      <c r="I138" s="3" t="s">
        <v>22</v>
      </c>
      <c r="J138" s="5">
        <v>3</v>
      </c>
    </row>
    <row r="139" spans="3:10" x14ac:dyDescent="0.25">
      <c r="C139" s="4" t="s">
        <v>11</v>
      </c>
      <c r="D139" s="1">
        <v>3</v>
      </c>
      <c r="F139" s="3" t="s">
        <v>10</v>
      </c>
      <c r="G139" s="5">
        <v>3</v>
      </c>
      <c r="I139" s="4" t="s">
        <v>8</v>
      </c>
      <c r="J139" s="1">
        <v>3</v>
      </c>
    </row>
    <row r="140" spans="3:10" x14ac:dyDescent="0.25">
      <c r="C140" s="3" t="s">
        <v>22</v>
      </c>
      <c r="D140" s="5">
        <v>3</v>
      </c>
      <c r="F140" s="4" t="s">
        <v>8</v>
      </c>
      <c r="G140" s="1">
        <v>3</v>
      </c>
      <c r="I140" s="3" t="s">
        <v>13</v>
      </c>
      <c r="J140" s="5">
        <v>0</v>
      </c>
    </row>
    <row r="141" spans="3:10" x14ac:dyDescent="0.25">
      <c r="C141" s="4" t="s">
        <v>11</v>
      </c>
      <c r="D141" s="1">
        <v>4</v>
      </c>
      <c r="F141" s="3" t="s">
        <v>8</v>
      </c>
      <c r="G141" s="5">
        <v>3</v>
      </c>
      <c r="I141" s="4" t="s">
        <v>16</v>
      </c>
      <c r="J141" s="1">
        <v>1</v>
      </c>
    </row>
    <row r="142" spans="3:10" x14ac:dyDescent="0.25">
      <c r="C142" s="3" t="s">
        <v>11</v>
      </c>
      <c r="D142" s="5">
        <v>4</v>
      </c>
      <c r="F142" s="4" t="s">
        <v>14</v>
      </c>
      <c r="G142" s="1">
        <v>5</v>
      </c>
      <c r="I142" s="3" t="s">
        <v>18</v>
      </c>
      <c r="J142" s="5">
        <v>4</v>
      </c>
    </row>
    <row r="143" spans="3:10" x14ac:dyDescent="0.25">
      <c r="C143" s="4" t="s">
        <v>10</v>
      </c>
      <c r="D143" s="1">
        <v>2</v>
      </c>
      <c r="F143" s="3" t="s">
        <v>23</v>
      </c>
      <c r="G143" s="5">
        <v>1</v>
      </c>
      <c r="I143" s="4" t="s">
        <v>11</v>
      </c>
      <c r="J143" s="1">
        <v>6</v>
      </c>
    </row>
    <row r="144" spans="3:10" x14ac:dyDescent="0.25">
      <c r="C144" s="3" t="s">
        <v>11</v>
      </c>
      <c r="D144" s="5">
        <v>3</v>
      </c>
      <c r="F144" s="4" t="s">
        <v>10</v>
      </c>
      <c r="G144" s="1">
        <v>1</v>
      </c>
      <c r="I144" s="3" t="s">
        <v>22</v>
      </c>
      <c r="J144" s="5">
        <v>1</v>
      </c>
    </row>
    <row r="145" spans="3:10" x14ac:dyDescent="0.25">
      <c r="C145" s="4" t="s">
        <v>11</v>
      </c>
      <c r="D145" s="1">
        <v>2</v>
      </c>
      <c r="F145" s="3" t="s">
        <v>23</v>
      </c>
      <c r="G145" s="5">
        <v>3</v>
      </c>
      <c r="I145" s="4" t="s">
        <v>14</v>
      </c>
      <c r="J145" s="1">
        <v>5</v>
      </c>
    </row>
    <row r="146" spans="3:10" x14ac:dyDescent="0.25">
      <c r="C146" s="3" t="s">
        <v>20</v>
      </c>
      <c r="D146" s="5">
        <v>5</v>
      </c>
      <c r="F146" s="4" t="s">
        <v>18</v>
      </c>
      <c r="G146" s="1">
        <v>3</v>
      </c>
      <c r="I146" s="3" t="s">
        <v>23</v>
      </c>
      <c r="J146" s="5">
        <v>2</v>
      </c>
    </row>
    <row r="147" spans="3:10" x14ac:dyDescent="0.25">
      <c r="C147" s="4" t="s">
        <v>11</v>
      </c>
      <c r="D147" s="1">
        <v>5</v>
      </c>
      <c r="F147" s="3" t="s">
        <v>22</v>
      </c>
      <c r="G147" s="5">
        <v>2</v>
      </c>
      <c r="I147" s="4" t="s">
        <v>11</v>
      </c>
      <c r="J147" s="1">
        <v>3</v>
      </c>
    </row>
    <row r="148" spans="3:10" x14ac:dyDescent="0.25">
      <c r="C148" s="3" t="s">
        <v>10</v>
      </c>
      <c r="D148" s="5">
        <v>1</v>
      </c>
      <c r="F148" s="4" t="s">
        <v>8</v>
      </c>
      <c r="G148" s="1">
        <v>1</v>
      </c>
      <c r="I148" s="3" t="s">
        <v>16</v>
      </c>
      <c r="J148" s="5">
        <v>5</v>
      </c>
    </row>
    <row r="149" spans="3:10" x14ac:dyDescent="0.25">
      <c r="C149" s="4" t="s">
        <v>16</v>
      </c>
      <c r="D149" s="1">
        <v>1</v>
      </c>
      <c r="F149" s="3" t="s">
        <v>14</v>
      </c>
      <c r="G149" s="5">
        <v>0</v>
      </c>
      <c r="I149" s="4" t="s">
        <v>20</v>
      </c>
      <c r="J149" s="1">
        <v>1</v>
      </c>
    </row>
    <row r="150" spans="3:10" x14ac:dyDescent="0.25">
      <c r="C150" s="3" t="s">
        <v>11</v>
      </c>
      <c r="D150" s="5">
        <v>4</v>
      </c>
      <c r="F150" s="4" t="s">
        <v>20</v>
      </c>
      <c r="G150" s="1">
        <v>5</v>
      </c>
      <c r="I150" s="3" t="s">
        <v>11</v>
      </c>
      <c r="J150" s="5">
        <v>7</v>
      </c>
    </row>
    <row r="151" spans="3:10" x14ac:dyDescent="0.25">
      <c r="C151" s="4" t="s">
        <v>11</v>
      </c>
      <c r="D151" s="1">
        <v>4</v>
      </c>
      <c r="F151" s="3" t="s">
        <v>10</v>
      </c>
      <c r="G151" s="5">
        <v>5</v>
      </c>
      <c r="I151" s="4" t="s">
        <v>20</v>
      </c>
      <c r="J151" s="1">
        <v>2</v>
      </c>
    </row>
    <row r="152" spans="3:10" x14ac:dyDescent="0.25">
      <c r="C152" s="3" t="s">
        <v>13</v>
      </c>
      <c r="D152" s="5">
        <v>2</v>
      </c>
      <c r="F152" s="4" t="s">
        <v>22</v>
      </c>
      <c r="G152" s="1">
        <v>1</v>
      </c>
      <c r="I152" s="3" t="s">
        <v>22</v>
      </c>
      <c r="J152" s="5">
        <v>1</v>
      </c>
    </row>
    <row r="153" spans="3:10" x14ac:dyDescent="0.25">
      <c r="C153" s="4" t="s">
        <v>20</v>
      </c>
      <c r="D153" s="1">
        <v>5</v>
      </c>
      <c r="F153" s="3" t="s">
        <v>8</v>
      </c>
      <c r="G153" s="5">
        <v>2</v>
      </c>
      <c r="I153" s="4" t="s">
        <v>8</v>
      </c>
      <c r="J153" s="1">
        <v>4</v>
      </c>
    </row>
    <row r="154" spans="3:10" x14ac:dyDescent="0.25">
      <c r="C154" s="3" t="s">
        <v>11</v>
      </c>
      <c r="D154" s="5">
        <v>4</v>
      </c>
      <c r="F154" s="4" t="s">
        <v>13</v>
      </c>
      <c r="G154" s="1">
        <v>5</v>
      </c>
      <c r="I154" s="3" t="s">
        <v>10</v>
      </c>
      <c r="J154" s="5">
        <v>1</v>
      </c>
    </row>
    <row r="155" spans="3:10" x14ac:dyDescent="0.25">
      <c r="C155" s="4" t="s">
        <v>11</v>
      </c>
      <c r="D155" s="1">
        <v>3</v>
      </c>
      <c r="F155" s="3" t="s">
        <v>18</v>
      </c>
      <c r="G155" s="5">
        <v>4</v>
      </c>
      <c r="I155" s="4" t="s">
        <v>18</v>
      </c>
      <c r="J155" s="1">
        <v>3</v>
      </c>
    </row>
    <row r="156" spans="3:10" x14ac:dyDescent="0.25">
      <c r="C156" s="3" t="s">
        <v>11</v>
      </c>
      <c r="D156" s="5">
        <v>3</v>
      </c>
      <c r="F156" s="4" t="s">
        <v>22</v>
      </c>
      <c r="G156" s="1">
        <v>3</v>
      </c>
      <c r="I156" s="3" t="s">
        <v>23</v>
      </c>
      <c r="J156" s="5">
        <v>2</v>
      </c>
    </row>
    <row r="157" spans="3:10" x14ac:dyDescent="0.25">
      <c r="C157" s="4" t="s">
        <v>11</v>
      </c>
      <c r="D157" s="1">
        <v>4</v>
      </c>
      <c r="F157" s="3" t="s">
        <v>22</v>
      </c>
      <c r="G157" s="5">
        <v>2</v>
      </c>
      <c r="I157" s="4" t="s">
        <v>23</v>
      </c>
      <c r="J157" s="1">
        <v>4</v>
      </c>
    </row>
    <row r="158" spans="3:10" x14ac:dyDescent="0.25">
      <c r="C158" s="3" t="s">
        <v>20</v>
      </c>
      <c r="D158" s="5">
        <v>5</v>
      </c>
      <c r="F158" s="4" t="s">
        <v>23</v>
      </c>
      <c r="G158" s="1">
        <v>0</v>
      </c>
      <c r="I158" s="3" t="s">
        <v>22</v>
      </c>
      <c r="J158" s="5">
        <v>4</v>
      </c>
    </row>
    <row r="159" spans="3:10" x14ac:dyDescent="0.25">
      <c r="C159" s="4" t="s">
        <v>8</v>
      </c>
      <c r="D159" s="1">
        <v>1</v>
      </c>
      <c r="F159" s="3" t="s">
        <v>13</v>
      </c>
      <c r="G159" s="5">
        <v>3</v>
      </c>
      <c r="I159" s="4" t="s">
        <v>22</v>
      </c>
      <c r="J159" s="1">
        <v>0</v>
      </c>
    </row>
    <row r="160" spans="3:10" x14ac:dyDescent="0.25">
      <c r="C160" s="3" t="s">
        <v>11</v>
      </c>
      <c r="D160" s="5">
        <v>3</v>
      </c>
      <c r="F160" s="4" t="s">
        <v>18</v>
      </c>
      <c r="G160" s="1">
        <v>5</v>
      </c>
      <c r="I160" s="3" t="s">
        <v>16</v>
      </c>
      <c r="J160" s="5">
        <v>5</v>
      </c>
    </row>
    <row r="161" spans="3:10" x14ac:dyDescent="0.25">
      <c r="C161" s="4" t="s">
        <v>11</v>
      </c>
      <c r="D161" s="1">
        <v>3</v>
      </c>
      <c r="F161" s="3" t="s">
        <v>22</v>
      </c>
      <c r="G161" s="5">
        <v>4</v>
      </c>
      <c r="I161" s="4" t="s">
        <v>10</v>
      </c>
      <c r="J161" s="1">
        <v>1</v>
      </c>
    </row>
    <row r="162" spans="3:10" x14ac:dyDescent="0.25">
      <c r="C162" s="3" t="s">
        <v>11</v>
      </c>
      <c r="D162" s="5">
        <v>6</v>
      </c>
      <c r="F162" s="4" t="s">
        <v>13</v>
      </c>
      <c r="G162" s="1">
        <v>2</v>
      </c>
      <c r="I162" s="3" t="s">
        <v>22</v>
      </c>
      <c r="J162" s="5">
        <v>2</v>
      </c>
    </row>
    <row r="163" spans="3:10" x14ac:dyDescent="0.25">
      <c r="C163" s="4" t="s">
        <v>11</v>
      </c>
      <c r="D163" s="1">
        <v>3</v>
      </c>
      <c r="F163" s="3" t="s">
        <v>20</v>
      </c>
      <c r="G163" s="5">
        <v>2</v>
      </c>
      <c r="I163" s="4" t="s">
        <v>14</v>
      </c>
      <c r="J163" s="1">
        <v>2</v>
      </c>
    </row>
    <row r="164" spans="3:10" x14ac:dyDescent="0.25">
      <c r="C164" s="3" t="s">
        <v>11</v>
      </c>
      <c r="D164" s="5">
        <v>4</v>
      </c>
      <c r="F164" s="4" t="s">
        <v>22</v>
      </c>
      <c r="G164" s="1">
        <v>4</v>
      </c>
      <c r="I164" s="3" t="s">
        <v>16</v>
      </c>
      <c r="J164" s="5">
        <v>0</v>
      </c>
    </row>
    <row r="165" spans="3:10" x14ac:dyDescent="0.25">
      <c r="C165" s="4" t="s">
        <v>14</v>
      </c>
      <c r="D165" s="1">
        <v>1</v>
      </c>
      <c r="F165" s="3" t="s">
        <v>22</v>
      </c>
      <c r="G165" s="5">
        <v>1</v>
      </c>
      <c r="I165" s="4" t="s">
        <v>10</v>
      </c>
      <c r="J165" s="1">
        <v>0</v>
      </c>
    </row>
    <row r="166" spans="3:10" x14ac:dyDescent="0.25">
      <c r="C166" s="3" t="s">
        <v>13</v>
      </c>
      <c r="D166" s="5">
        <v>5</v>
      </c>
      <c r="F166" s="4" t="s">
        <v>8</v>
      </c>
      <c r="G166" s="1">
        <v>5</v>
      </c>
      <c r="I166" s="3" t="s">
        <v>16</v>
      </c>
      <c r="J166" s="5">
        <v>1</v>
      </c>
    </row>
    <row r="167" spans="3:10" x14ac:dyDescent="0.25">
      <c r="C167" s="4" t="s">
        <v>11</v>
      </c>
      <c r="D167" s="1">
        <v>5</v>
      </c>
      <c r="F167" s="3" t="s">
        <v>23</v>
      </c>
      <c r="G167" s="5">
        <v>5</v>
      </c>
      <c r="I167" s="4" t="s">
        <v>23</v>
      </c>
      <c r="J167" s="1">
        <v>0</v>
      </c>
    </row>
    <row r="168" spans="3:10" x14ac:dyDescent="0.25">
      <c r="C168" s="3" t="s">
        <v>20</v>
      </c>
      <c r="D168" s="5">
        <v>3</v>
      </c>
      <c r="F168" s="4" t="s">
        <v>10</v>
      </c>
      <c r="G168" s="1">
        <v>4</v>
      </c>
      <c r="I168" s="3" t="s">
        <v>23</v>
      </c>
      <c r="J168" s="5">
        <v>0</v>
      </c>
    </row>
    <row r="169" spans="3:10" x14ac:dyDescent="0.25">
      <c r="C169" s="4" t="s">
        <v>14</v>
      </c>
      <c r="D169" s="1">
        <v>4</v>
      </c>
      <c r="F169" s="3" t="s">
        <v>23</v>
      </c>
      <c r="G169" s="5">
        <v>2</v>
      </c>
      <c r="I169" s="4" t="s">
        <v>23</v>
      </c>
      <c r="J169" s="1">
        <v>2</v>
      </c>
    </row>
    <row r="170" spans="3:10" x14ac:dyDescent="0.25">
      <c r="C170" s="3" t="s">
        <v>11</v>
      </c>
      <c r="D170" s="5">
        <v>4</v>
      </c>
      <c r="F170" s="4" t="s">
        <v>18</v>
      </c>
      <c r="G170" s="1">
        <v>3</v>
      </c>
      <c r="I170" s="3" t="s">
        <v>13</v>
      </c>
      <c r="J170" s="5">
        <v>0</v>
      </c>
    </row>
    <row r="171" spans="3:10" x14ac:dyDescent="0.25">
      <c r="C171" s="4" t="s">
        <v>11</v>
      </c>
      <c r="D171" s="1">
        <v>4</v>
      </c>
      <c r="F171" s="3" t="s">
        <v>10</v>
      </c>
      <c r="G171" s="5">
        <v>5</v>
      </c>
      <c r="I171" s="4" t="s">
        <v>23</v>
      </c>
      <c r="J171" s="1">
        <v>5</v>
      </c>
    </row>
    <row r="172" spans="3:10" x14ac:dyDescent="0.25">
      <c r="C172" s="3" t="s">
        <v>14</v>
      </c>
      <c r="D172" s="5">
        <v>3</v>
      </c>
      <c r="F172" s="4" t="s">
        <v>20</v>
      </c>
      <c r="G172" s="1">
        <v>2</v>
      </c>
      <c r="I172" s="3" t="s">
        <v>8</v>
      </c>
      <c r="J172" s="5">
        <v>0</v>
      </c>
    </row>
    <row r="173" spans="3:10" x14ac:dyDescent="0.25">
      <c r="C173" s="4" t="s">
        <v>11</v>
      </c>
      <c r="D173" s="1">
        <v>3</v>
      </c>
      <c r="F173" s="3" t="s">
        <v>14</v>
      </c>
      <c r="G173" s="5">
        <v>0</v>
      </c>
      <c r="I173" s="4" t="s">
        <v>8</v>
      </c>
      <c r="J173" s="1">
        <v>5</v>
      </c>
    </row>
    <row r="174" spans="3:10" x14ac:dyDescent="0.25">
      <c r="C174" s="3" t="s">
        <v>11</v>
      </c>
      <c r="D174" s="5">
        <v>5</v>
      </c>
      <c r="F174" s="4" t="s">
        <v>22</v>
      </c>
      <c r="G174" s="1">
        <v>4</v>
      </c>
      <c r="I174" s="3" t="s">
        <v>10</v>
      </c>
      <c r="J174" s="5">
        <v>2</v>
      </c>
    </row>
    <row r="175" spans="3:10" x14ac:dyDescent="0.25">
      <c r="C175" s="4" t="s">
        <v>16</v>
      </c>
      <c r="D175" s="1">
        <v>5</v>
      </c>
      <c r="F175" s="3" t="s">
        <v>14</v>
      </c>
      <c r="G175" s="5">
        <v>3</v>
      </c>
      <c r="I175" s="4" t="s">
        <v>13</v>
      </c>
      <c r="J175" s="1">
        <v>0</v>
      </c>
    </row>
    <row r="176" spans="3:10" x14ac:dyDescent="0.25">
      <c r="C176" s="3" t="s">
        <v>22</v>
      </c>
      <c r="D176" s="5">
        <v>3</v>
      </c>
      <c r="F176" s="4" t="s">
        <v>22</v>
      </c>
      <c r="G176" s="1">
        <v>0</v>
      </c>
      <c r="I176" s="3" t="s">
        <v>11</v>
      </c>
      <c r="J176" s="5">
        <v>3</v>
      </c>
    </row>
    <row r="177" spans="3:10" x14ac:dyDescent="0.25">
      <c r="C177" s="4" t="s">
        <v>11</v>
      </c>
      <c r="D177" s="1">
        <v>5</v>
      </c>
      <c r="F177" s="3" t="s">
        <v>22</v>
      </c>
      <c r="G177" s="5">
        <v>4</v>
      </c>
      <c r="I177" s="4" t="s">
        <v>14</v>
      </c>
      <c r="J177" s="1">
        <v>3</v>
      </c>
    </row>
    <row r="178" spans="3:10" x14ac:dyDescent="0.25">
      <c r="C178" s="3" t="s">
        <v>11</v>
      </c>
      <c r="D178" s="5">
        <v>5</v>
      </c>
      <c r="F178" s="4" t="s">
        <v>18</v>
      </c>
      <c r="G178" s="1">
        <v>0</v>
      </c>
      <c r="I178" s="3" t="s">
        <v>22</v>
      </c>
      <c r="J178" s="5">
        <v>5</v>
      </c>
    </row>
    <row r="179" spans="3:10" x14ac:dyDescent="0.25">
      <c r="C179" s="4" t="s">
        <v>13</v>
      </c>
      <c r="D179" s="1">
        <v>3</v>
      </c>
      <c r="F179" s="3" t="s">
        <v>20</v>
      </c>
      <c r="G179" s="5">
        <v>4</v>
      </c>
      <c r="I179" s="4" t="s">
        <v>23</v>
      </c>
      <c r="J179" s="1">
        <v>3</v>
      </c>
    </row>
    <row r="180" spans="3:10" x14ac:dyDescent="0.25">
      <c r="C180" s="3" t="s">
        <v>22</v>
      </c>
      <c r="D180" s="5">
        <v>1</v>
      </c>
      <c r="F180" s="4" t="s">
        <v>10</v>
      </c>
      <c r="G180" s="1">
        <v>2</v>
      </c>
      <c r="I180" s="3" t="s">
        <v>16</v>
      </c>
      <c r="J180" s="5">
        <v>1</v>
      </c>
    </row>
    <row r="181" spans="3:10" x14ac:dyDescent="0.25">
      <c r="C181" s="4" t="s">
        <v>8</v>
      </c>
      <c r="D181" s="1">
        <v>3</v>
      </c>
      <c r="F181" s="3" t="s">
        <v>22</v>
      </c>
      <c r="G181" s="5">
        <v>1</v>
      </c>
      <c r="I181" s="4" t="s">
        <v>10</v>
      </c>
      <c r="J181" s="1">
        <v>5</v>
      </c>
    </row>
    <row r="182" spans="3:10" x14ac:dyDescent="0.25">
      <c r="C182" s="3" t="s">
        <v>11</v>
      </c>
      <c r="D182" s="5">
        <v>5</v>
      </c>
      <c r="F182" s="4" t="s">
        <v>22</v>
      </c>
      <c r="G182" s="1">
        <v>4</v>
      </c>
      <c r="I182" s="3" t="s">
        <v>14</v>
      </c>
      <c r="J182" s="5">
        <v>2</v>
      </c>
    </row>
    <row r="183" spans="3:10" x14ac:dyDescent="0.25">
      <c r="C183" s="4" t="s">
        <v>13</v>
      </c>
      <c r="D183" s="1">
        <v>0</v>
      </c>
      <c r="F183" s="3" t="s">
        <v>14</v>
      </c>
      <c r="G183" s="5">
        <v>1</v>
      </c>
      <c r="I183" s="4" t="s">
        <v>8</v>
      </c>
      <c r="J183" s="1">
        <v>0</v>
      </c>
    </row>
    <row r="184" spans="3:10" x14ac:dyDescent="0.25">
      <c r="C184" s="3" t="s">
        <v>16</v>
      </c>
      <c r="D184" s="5">
        <v>1</v>
      </c>
      <c r="F184" s="4" t="s">
        <v>13</v>
      </c>
      <c r="G184" s="1">
        <v>4</v>
      </c>
      <c r="I184" s="3" t="s">
        <v>8</v>
      </c>
      <c r="J184" s="5">
        <v>5</v>
      </c>
    </row>
    <row r="185" spans="3:10" x14ac:dyDescent="0.25">
      <c r="C185" s="4" t="s">
        <v>18</v>
      </c>
      <c r="D185" s="1">
        <v>4</v>
      </c>
      <c r="F185" s="3" t="s">
        <v>13</v>
      </c>
      <c r="G185" s="5">
        <v>2</v>
      </c>
      <c r="I185" s="4" t="s">
        <v>10</v>
      </c>
      <c r="J185" s="1">
        <v>1</v>
      </c>
    </row>
    <row r="186" spans="3:10" x14ac:dyDescent="0.25">
      <c r="C186" s="3" t="s">
        <v>11</v>
      </c>
      <c r="D186" s="5">
        <v>6</v>
      </c>
      <c r="F186" s="4" t="s">
        <v>14</v>
      </c>
      <c r="G186" s="1">
        <v>1</v>
      </c>
      <c r="I186" s="3" t="s">
        <v>8</v>
      </c>
      <c r="J186" s="5">
        <v>5</v>
      </c>
    </row>
    <row r="187" spans="3:10" x14ac:dyDescent="0.25">
      <c r="C187" s="4" t="s">
        <v>22</v>
      </c>
      <c r="D187" s="1">
        <v>1</v>
      </c>
      <c r="F187" s="3" t="s">
        <v>13</v>
      </c>
      <c r="G187" s="5">
        <v>1</v>
      </c>
      <c r="I187" s="4" t="s">
        <v>10</v>
      </c>
      <c r="J187" s="1">
        <v>5</v>
      </c>
    </row>
    <row r="188" spans="3:10" x14ac:dyDescent="0.25">
      <c r="C188" s="3" t="s">
        <v>14</v>
      </c>
      <c r="D188" s="5">
        <v>5</v>
      </c>
      <c r="F188" s="4" t="s">
        <v>13</v>
      </c>
      <c r="G188" s="1">
        <v>1</v>
      </c>
      <c r="I188" s="3" t="s">
        <v>18</v>
      </c>
      <c r="J188" s="5">
        <v>2</v>
      </c>
    </row>
    <row r="189" spans="3:10" x14ac:dyDescent="0.25">
      <c r="C189" s="4" t="s">
        <v>11</v>
      </c>
      <c r="D189" s="1">
        <v>3</v>
      </c>
      <c r="F189" s="3" t="s">
        <v>18</v>
      </c>
      <c r="G189" s="5">
        <v>3</v>
      </c>
      <c r="I189" s="4" t="s">
        <v>14</v>
      </c>
      <c r="J189" s="1">
        <v>4</v>
      </c>
    </row>
    <row r="190" spans="3:10" x14ac:dyDescent="0.25">
      <c r="C190" s="3" t="s">
        <v>23</v>
      </c>
      <c r="D190" s="5">
        <v>2</v>
      </c>
      <c r="F190" s="4" t="s">
        <v>13</v>
      </c>
      <c r="G190" s="1">
        <v>4</v>
      </c>
      <c r="I190" s="3" t="s">
        <v>20</v>
      </c>
      <c r="J190" s="5">
        <v>0</v>
      </c>
    </row>
    <row r="191" spans="3:10" x14ac:dyDescent="0.25">
      <c r="C191" s="4" t="s">
        <v>11</v>
      </c>
      <c r="D191" s="1">
        <v>5</v>
      </c>
      <c r="F191" s="3" t="s">
        <v>22</v>
      </c>
      <c r="G191" s="5">
        <v>0</v>
      </c>
      <c r="I191" s="4" t="s">
        <v>16</v>
      </c>
      <c r="J191" s="1">
        <v>1</v>
      </c>
    </row>
    <row r="192" spans="3:10" x14ac:dyDescent="0.25">
      <c r="C192" s="3" t="s">
        <v>11</v>
      </c>
      <c r="D192" s="5">
        <v>3</v>
      </c>
      <c r="F192" s="4" t="s">
        <v>13</v>
      </c>
      <c r="G192" s="1">
        <v>5</v>
      </c>
      <c r="I192" s="3" t="s">
        <v>10</v>
      </c>
      <c r="J192" s="5">
        <v>3</v>
      </c>
    </row>
    <row r="193" spans="3:10" x14ac:dyDescent="0.25">
      <c r="C193" s="4" t="s">
        <v>16</v>
      </c>
      <c r="D193" s="1">
        <v>5</v>
      </c>
      <c r="F193" s="3" t="s">
        <v>22</v>
      </c>
      <c r="G193" s="5">
        <v>1</v>
      </c>
      <c r="I193" s="4" t="s">
        <v>11</v>
      </c>
      <c r="J193" s="1">
        <v>6</v>
      </c>
    </row>
    <row r="194" spans="3:10" x14ac:dyDescent="0.25">
      <c r="C194" s="3" t="s">
        <v>22</v>
      </c>
      <c r="D194" s="5">
        <v>3</v>
      </c>
      <c r="F194" s="4" t="s">
        <v>18</v>
      </c>
      <c r="G194" s="1">
        <v>2</v>
      </c>
      <c r="I194" s="3" t="s">
        <v>16</v>
      </c>
      <c r="J194" s="5">
        <v>3</v>
      </c>
    </row>
    <row r="195" spans="3:10" x14ac:dyDescent="0.25">
      <c r="C195" s="4" t="s">
        <v>20</v>
      </c>
      <c r="D195" s="1">
        <v>1</v>
      </c>
      <c r="F195" s="3" t="s">
        <v>23</v>
      </c>
      <c r="G195" s="5">
        <v>1</v>
      </c>
      <c r="I195" s="4" t="s">
        <v>11</v>
      </c>
      <c r="J195" s="1">
        <v>3</v>
      </c>
    </row>
    <row r="196" spans="3:10" x14ac:dyDescent="0.25">
      <c r="C196" s="3" t="s">
        <v>11</v>
      </c>
      <c r="D196" s="5">
        <v>7</v>
      </c>
      <c r="F196" s="4" t="s">
        <v>10</v>
      </c>
      <c r="G196" s="1">
        <v>0</v>
      </c>
      <c r="I196" s="3" t="s">
        <v>13</v>
      </c>
      <c r="J196" s="5">
        <v>0</v>
      </c>
    </row>
    <row r="197" spans="3:10" x14ac:dyDescent="0.25">
      <c r="C197" s="4" t="s">
        <v>20</v>
      </c>
      <c r="D197" s="1">
        <v>2</v>
      </c>
      <c r="F197" s="3" t="s">
        <v>20</v>
      </c>
      <c r="G197" s="5">
        <v>5</v>
      </c>
      <c r="I197" s="4" t="s">
        <v>10</v>
      </c>
      <c r="J197" s="1">
        <v>1</v>
      </c>
    </row>
    <row r="198" spans="3:10" x14ac:dyDescent="0.25">
      <c r="C198" s="3" t="s">
        <v>11</v>
      </c>
      <c r="D198" s="5">
        <v>5</v>
      </c>
      <c r="F198" s="4" t="s">
        <v>22</v>
      </c>
      <c r="G198" s="1">
        <v>0</v>
      </c>
      <c r="I198" s="3" t="s">
        <v>22</v>
      </c>
      <c r="J198" s="5">
        <v>2</v>
      </c>
    </row>
    <row r="199" spans="3:10" x14ac:dyDescent="0.25">
      <c r="C199" s="4" t="s">
        <v>22</v>
      </c>
      <c r="D199" s="1">
        <v>1</v>
      </c>
      <c r="F199" s="3" t="s">
        <v>23</v>
      </c>
      <c r="G199" s="5">
        <v>3</v>
      </c>
      <c r="I199" s="4" t="s">
        <v>16</v>
      </c>
      <c r="J199" s="1">
        <v>1</v>
      </c>
    </row>
    <row r="200" spans="3:10" x14ac:dyDescent="0.25">
      <c r="C200" s="3" t="s">
        <v>11</v>
      </c>
      <c r="D200" s="5">
        <v>4</v>
      </c>
      <c r="F200" s="4" t="s">
        <v>22</v>
      </c>
      <c r="G200" s="1">
        <v>2</v>
      </c>
      <c r="I200" s="3" t="s">
        <v>13</v>
      </c>
      <c r="J200" s="5">
        <v>2</v>
      </c>
    </row>
    <row r="201" spans="3:10" x14ac:dyDescent="0.25">
      <c r="C201" s="4" t="s">
        <v>11</v>
      </c>
      <c r="D201" s="1">
        <v>5</v>
      </c>
      <c r="F201" s="3" t="s">
        <v>18</v>
      </c>
      <c r="G201" s="5">
        <v>2</v>
      </c>
      <c r="I201" s="4" t="s">
        <v>18</v>
      </c>
      <c r="J201" s="1">
        <v>0</v>
      </c>
    </row>
    <row r="202" spans="3:10" x14ac:dyDescent="0.25">
      <c r="C202" s="3" t="s">
        <v>8</v>
      </c>
      <c r="D202" s="5">
        <v>4</v>
      </c>
      <c r="F202" s="4" t="s">
        <v>14</v>
      </c>
      <c r="G202" s="1">
        <v>0</v>
      </c>
      <c r="I202" s="3" t="s">
        <v>8</v>
      </c>
      <c r="J202" s="5">
        <v>0</v>
      </c>
    </row>
    <row r="203" spans="3:10" x14ac:dyDescent="0.25">
      <c r="C203" s="4" t="s">
        <v>10</v>
      </c>
      <c r="D203" s="1">
        <v>1</v>
      </c>
      <c r="F203" s="3" t="s">
        <v>14</v>
      </c>
      <c r="G203" s="5">
        <v>3</v>
      </c>
      <c r="I203" s="4" t="s">
        <v>20</v>
      </c>
      <c r="J203" s="1">
        <v>0</v>
      </c>
    </row>
    <row r="204" spans="3:10" x14ac:dyDescent="0.25">
      <c r="C204" s="3" t="s">
        <v>18</v>
      </c>
      <c r="D204" s="5">
        <v>3</v>
      </c>
      <c r="F204" s="4" t="s">
        <v>20</v>
      </c>
      <c r="G204" s="1">
        <v>4</v>
      </c>
      <c r="I204" s="3" t="s">
        <v>11</v>
      </c>
      <c r="J204" s="5">
        <v>2</v>
      </c>
    </row>
    <row r="205" spans="3:10" x14ac:dyDescent="0.25">
      <c r="C205" s="4" t="s">
        <v>11</v>
      </c>
      <c r="D205" s="1">
        <v>4</v>
      </c>
      <c r="F205" s="3" t="s">
        <v>14</v>
      </c>
      <c r="G205" s="5">
        <v>4</v>
      </c>
      <c r="I205" s="4" t="s">
        <v>22</v>
      </c>
      <c r="J205" s="1">
        <v>3</v>
      </c>
    </row>
    <row r="206" spans="3:10" x14ac:dyDescent="0.25">
      <c r="C206" s="3" t="s">
        <v>23</v>
      </c>
      <c r="D206" s="5">
        <v>2</v>
      </c>
      <c r="F206" s="4" t="s">
        <v>23</v>
      </c>
      <c r="G206" s="1">
        <v>4</v>
      </c>
      <c r="I206" s="3" t="s">
        <v>11</v>
      </c>
      <c r="J206" s="5">
        <v>2</v>
      </c>
    </row>
    <row r="207" spans="3:10" x14ac:dyDescent="0.25">
      <c r="C207" s="4" t="s">
        <v>23</v>
      </c>
      <c r="D207" s="1">
        <v>4</v>
      </c>
      <c r="F207" s="3" t="s">
        <v>22</v>
      </c>
      <c r="G207" s="5">
        <v>1</v>
      </c>
      <c r="I207" s="4" t="s">
        <v>14</v>
      </c>
      <c r="J207" s="1">
        <v>4</v>
      </c>
    </row>
    <row r="208" spans="3:10" x14ac:dyDescent="0.25">
      <c r="C208" s="3" t="s">
        <v>22</v>
      </c>
      <c r="D208" s="5">
        <v>4</v>
      </c>
      <c r="F208" s="4" t="s">
        <v>22</v>
      </c>
      <c r="G208" s="1">
        <v>2</v>
      </c>
      <c r="I208" s="3" t="s">
        <v>22</v>
      </c>
      <c r="J208" s="5">
        <v>0</v>
      </c>
    </row>
    <row r="209" spans="3:10" x14ac:dyDescent="0.25">
      <c r="C209" s="4" t="s">
        <v>13</v>
      </c>
      <c r="D209" s="1">
        <v>5</v>
      </c>
      <c r="F209" s="3" t="s">
        <v>18</v>
      </c>
      <c r="G209" s="5">
        <v>1</v>
      </c>
      <c r="I209" s="4" t="s">
        <v>13</v>
      </c>
      <c r="J209" s="1">
        <v>3</v>
      </c>
    </row>
    <row r="210" spans="3:10" x14ac:dyDescent="0.25">
      <c r="C210" s="3" t="s">
        <v>22</v>
      </c>
      <c r="D210" s="5">
        <v>0</v>
      </c>
      <c r="F210" s="4" t="s">
        <v>18</v>
      </c>
      <c r="G210" s="1">
        <v>5</v>
      </c>
      <c r="I210" s="3" t="s">
        <v>18</v>
      </c>
      <c r="J210" s="5">
        <v>2</v>
      </c>
    </row>
    <row r="211" spans="3:10" x14ac:dyDescent="0.25">
      <c r="C211" s="4" t="s">
        <v>11</v>
      </c>
      <c r="D211" s="1">
        <v>5</v>
      </c>
      <c r="F211" s="3" t="s">
        <v>18</v>
      </c>
      <c r="G211" s="5">
        <v>2</v>
      </c>
      <c r="I211" s="4" t="s">
        <v>8</v>
      </c>
      <c r="J211" s="1">
        <v>2</v>
      </c>
    </row>
    <row r="212" spans="3:10" x14ac:dyDescent="0.25">
      <c r="C212" s="3" t="s">
        <v>16</v>
      </c>
      <c r="D212" s="5">
        <v>5</v>
      </c>
      <c r="F212" s="4" t="s">
        <v>18</v>
      </c>
      <c r="G212" s="1">
        <v>3</v>
      </c>
      <c r="I212" s="3" t="s">
        <v>16</v>
      </c>
      <c r="J212" s="5">
        <v>0</v>
      </c>
    </row>
    <row r="213" spans="3:10" x14ac:dyDescent="0.25">
      <c r="C213" s="4" t="s">
        <v>10</v>
      </c>
      <c r="D213" s="1">
        <v>1</v>
      </c>
      <c r="F213" s="3" t="s">
        <v>14</v>
      </c>
      <c r="G213" s="5">
        <v>5</v>
      </c>
      <c r="I213" s="4" t="s">
        <v>13</v>
      </c>
      <c r="J213" s="1">
        <v>1</v>
      </c>
    </row>
    <row r="214" spans="3:10" x14ac:dyDescent="0.25">
      <c r="C214" s="3" t="s">
        <v>22</v>
      </c>
      <c r="D214" s="5">
        <v>2</v>
      </c>
      <c r="F214" s="4" t="s">
        <v>18</v>
      </c>
      <c r="G214" s="1">
        <v>1</v>
      </c>
      <c r="I214" s="3" t="s">
        <v>23</v>
      </c>
      <c r="J214" s="5">
        <v>1</v>
      </c>
    </row>
    <row r="215" spans="3:10" x14ac:dyDescent="0.25">
      <c r="C215" s="4" t="s">
        <v>11</v>
      </c>
      <c r="D215" s="1">
        <v>4</v>
      </c>
      <c r="F215" s="3" t="s">
        <v>20</v>
      </c>
      <c r="G215" s="5">
        <v>3</v>
      </c>
      <c r="I215" s="4" t="s">
        <v>10</v>
      </c>
      <c r="J215" s="1">
        <v>3</v>
      </c>
    </row>
    <row r="216" spans="3:10" x14ac:dyDescent="0.25">
      <c r="C216" s="3" t="s">
        <v>14</v>
      </c>
      <c r="D216" s="5">
        <v>2</v>
      </c>
      <c r="F216" s="4" t="s">
        <v>14</v>
      </c>
      <c r="G216" s="1">
        <v>0</v>
      </c>
      <c r="I216" s="3" t="s">
        <v>8</v>
      </c>
      <c r="J216" s="5">
        <v>3</v>
      </c>
    </row>
    <row r="217" spans="3:10" x14ac:dyDescent="0.25">
      <c r="C217" s="4" t="s">
        <v>16</v>
      </c>
      <c r="D217" s="1">
        <v>0</v>
      </c>
      <c r="F217" s="3" t="s">
        <v>20</v>
      </c>
      <c r="G217" s="5">
        <v>3</v>
      </c>
      <c r="I217" s="4" t="s">
        <v>8</v>
      </c>
      <c r="J217" s="1">
        <v>3</v>
      </c>
    </row>
    <row r="218" spans="3:10" x14ac:dyDescent="0.25">
      <c r="C218" s="3" t="s">
        <v>16</v>
      </c>
      <c r="D218" s="5">
        <v>0</v>
      </c>
      <c r="F218" s="4" t="s">
        <v>20</v>
      </c>
      <c r="G218" s="1">
        <v>2</v>
      </c>
      <c r="I218" s="3" t="s">
        <v>14</v>
      </c>
      <c r="J218" s="5">
        <v>5</v>
      </c>
    </row>
    <row r="219" spans="3:10" x14ac:dyDescent="0.25">
      <c r="C219" s="4" t="s">
        <v>10</v>
      </c>
      <c r="D219" s="1">
        <v>0</v>
      </c>
      <c r="F219" s="3" t="s">
        <v>10</v>
      </c>
      <c r="G219" s="5">
        <v>2</v>
      </c>
      <c r="I219" s="4" t="s">
        <v>23</v>
      </c>
      <c r="J219" s="1">
        <v>1</v>
      </c>
    </row>
    <row r="220" spans="3:10" x14ac:dyDescent="0.25">
      <c r="C220" s="3" t="s">
        <v>16</v>
      </c>
      <c r="D220" s="5">
        <v>1</v>
      </c>
      <c r="F220" s="4" t="s">
        <v>20</v>
      </c>
      <c r="G220" s="1">
        <v>3</v>
      </c>
      <c r="I220" s="3" t="s">
        <v>10</v>
      </c>
      <c r="J220" s="5">
        <v>1</v>
      </c>
    </row>
    <row r="221" spans="3:10" x14ac:dyDescent="0.25">
      <c r="C221" s="4" t="s">
        <v>23</v>
      </c>
      <c r="D221" s="1">
        <v>0</v>
      </c>
      <c r="F221" s="3" t="s">
        <v>8</v>
      </c>
      <c r="G221" s="5">
        <v>3</v>
      </c>
      <c r="I221" s="4" t="s">
        <v>23</v>
      </c>
      <c r="J221" s="1">
        <v>3</v>
      </c>
    </row>
    <row r="222" spans="3:10" x14ac:dyDescent="0.25">
      <c r="C222" s="3" t="s">
        <v>10</v>
      </c>
      <c r="D222" s="5">
        <v>0</v>
      </c>
      <c r="F222" s="4" t="s">
        <v>18</v>
      </c>
      <c r="G222" s="1">
        <v>5</v>
      </c>
      <c r="I222" s="3" t="s">
        <v>18</v>
      </c>
      <c r="J222" s="5">
        <v>3</v>
      </c>
    </row>
    <row r="223" spans="3:10" ht="15.75" thickBot="1" x14ac:dyDescent="0.3">
      <c r="C223" s="4" t="s">
        <v>23</v>
      </c>
      <c r="D223" s="1">
        <v>0</v>
      </c>
      <c r="F223" s="40" t="s">
        <v>14</v>
      </c>
      <c r="G223" s="41">
        <v>1</v>
      </c>
      <c r="I223" s="4" t="s">
        <v>22</v>
      </c>
      <c r="J223" s="1">
        <v>2</v>
      </c>
    </row>
    <row r="224" spans="3:10" x14ac:dyDescent="0.25">
      <c r="C224" s="3" t="s">
        <v>22</v>
      </c>
      <c r="D224" s="5">
        <v>1</v>
      </c>
      <c r="I224" s="3" t="s">
        <v>11</v>
      </c>
      <c r="J224" s="5">
        <v>4</v>
      </c>
    </row>
    <row r="225" spans="3:10" x14ac:dyDescent="0.25">
      <c r="C225" s="4" t="s">
        <v>23</v>
      </c>
      <c r="D225" s="1">
        <v>2</v>
      </c>
      <c r="I225" s="4" t="s">
        <v>11</v>
      </c>
      <c r="J225" s="1">
        <v>7</v>
      </c>
    </row>
    <row r="226" spans="3:10" x14ac:dyDescent="0.25">
      <c r="C226" s="3" t="s">
        <v>11</v>
      </c>
      <c r="D226" s="5">
        <v>3</v>
      </c>
      <c r="I226" s="3" t="s">
        <v>16</v>
      </c>
      <c r="J226" s="5">
        <v>2</v>
      </c>
    </row>
    <row r="227" spans="3:10" x14ac:dyDescent="0.25">
      <c r="C227" s="4" t="s">
        <v>16</v>
      </c>
      <c r="D227" s="1">
        <v>3</v>
      </c>
      <c r="I227" s="4" t="s">
        <v>8</v>
      </c>
      <c r="J227" s="1">
        <v>1</v>
      </c>
    </row>
    <row r="228" spans="3:10" x14ac:dyDescent="0.25">
      <c r="C228" s="3" t="s">
        <v>11</v>
      </c>
      <c r="D228" s="5">
        <v>3</v>
      </c>
      <c r="I228" s="3" t="s">
        <v>14</v>
      </c>
      <c r="J228" s="5">
        <v>0</v>
      </c>
    </row>
    <row r="229" spans="3:10" x14ac:dyDescent="0.25">
      <c r="C229" s="4" t="s">
        <v>13</v>
      </c>
      <c r="D229" s="1">
        <v>0</v>
      </c>
      <c r="I229" s="4" t="s">
        <v>11</v>
      </c>
      <c r="J229" s="1">
        <v>2</v>
      </c>
    </row>
    <row r="230" spans="3:10" x14ac:dyDescent="0.25">
      <c r="C230" s="3" t="s">
        <v>10</v>
      </c>
      <c r="D230" s="5">
        <v>2</v>
      </c>
      <c r="I230" s="3" t="s">
        <v>20</v>
      </c>
      <c r="J230" s="5">
        <v>5</v>
      </c>
    </row>
    <row r="231" spans="3:10" x14ac:dyDescent="0.25">
      <c r="C231" s="4" t="s">
        <v>23</v>
      </c>
      <c r="D231" s="1">
        <v>5</v>
      </c>
      <c r="I231" s="4" t="s">
        <v>10</v>
      </c>
      <c r="J231" s="1">
        <v>5</v>
      </c>
    </row>
    <row r="232" spans="3:10" x14ac:dyDescent="0.25">
      <c r="C232" s="3" t="s">
        <v>8</v>
      </c>
      <c r="D232" s="5">
        <v>0</v>
      </c>
      <c r="I232" s="3" t="s">
        <v>22</v>
      </c>
      <c r="J232" s="5">
        <v>1</v>
      </c>
    </row>
    <row r="233" spans="3:10" x14ac:dyDescent="0.25">
      <c r="C233" s="4" t="s">
        <v>11</v>
      </c>
      <c r="D233" s="1">
        <v>5</v>
      </c>
      <c r="F233" s="30" t="s">
        <v>71</v>
      </c>
      <c r="G233" t="s">
        <v>56</v>
      </c>
      <c r="J233" s="1">
        <v>2</v>
      </c>
    </row>
    <row r="234" spans="3:10" x14ac:dyDescent="0.25">
      <c r="C234" s="3" t="s">
        <v>11</v>
      </c>
      <c r="D234" s="5">
        <v>3</v>
      </c>
      <c r="F234" s="4" t="s">
        <v>10</v>
      </c>
      <c r="G234">
        <v>58</v>
      </c>
      <c r="J234" s="5">
        <v>5</v>
      </c>
    </row>
    <row r="235" spans="3:10" x14ac:dyDescent="0.25">
      <c r="C235" s="4" t="s">
        <v>11</v>
      </c>
      <c r="D235" s="1">
        <v>3</v>
      </c>
      <c r="F235" s="4" t="s">
        <v>13</v>
      </c>
      <c r="G235">
        <v>48</v>
      </c>
      <c r="J235" s="1">
        <v>1</v>
      </c>
    </row>
    <row r="236" spans="3:10" x14ac:dyDescent="0.25">
      <c r="C236" s="3" t="s">
        <v>8</v>
      </c>
      <c r="D236" s="5">
        <v>5</v>
      </c>
      <c r="F236" s="4" t="s">
        <v>16</v>
      </c>
      <c r="G236">
        <v>36</v>
      </c>
      <c r="J236" s="5">
        <v>4</v>
      </c>
    </row>
    <row r="237" spans="3:10" x14ac:dyDescent="0.25">
      <c r="C237" s="4" t="s">
        <v>11</v>
      </c>
      <c r="D237" s="1">
        <v>3</v>
      </c>
      <c r="F237" s="4" t="s">
        <v>18</v>
      </c>
      <c r="G237">
        <v>57</v>
      </c>
      <c r="J237" s="1">
        <v>3</v>
      </c>
    </row>
    <row r="238" spans="3:10" x14ac:dyDescent="0.25">
      <c r="C238" s="3" t="s">
        <v>10</v>
      </c>
      <c r="D238" s="5">
        <v>2</v>
      </c>
      <c r="F238" s="4" t="s">
        <v>11</v>
      </c>
      <c r="G238">
        <v>165</v>
      </c>
      <c r="J238" s="5">
        <v>0</v>
      </c>
    </row>
    <row r="239" spans="3:10" x14ac:dyDescent="0.25">
      <c r="C239" s="4" t="s">
        <v>13</v>
      </c>
      <c r="D239" s="1">
        <v>0</v>
      </c>
      <c r="F239" s="4" t="s">
        <v>22</v>
      </c>
      <c r="G239">
        <v>57</v>
      </c>
      <c r="J239" s="1">
        <v>2</v>
      </c>
    </row>
    <row r="240" spans="3:10" x14ac:dyDescent="0.25">
      <c r="C240" s="3" t="s">
        <v>11</v>
      </c>
      <c r="D240" s="5">
        <v>3</v>
      </c>
      <c r="F240" s="4" t="s">
        <v>20</v>
      </c>
      <c r="G240">
        <v>71</v>
      </c>
      <c r="J240" s="5">
        <v>4</v>
      </c>
    </row>
    <row r="241" spans="3:10" x14ac:dyDescent="0.25">
      <c r="C241" s="4" t="s">
        <v>14</v>
      </c>
      <c r="D241" s="1">
        <v>3</v>
      </c>
      <c r="F241" s="4" t="s">
        <v>8</v>
      </c>
      <c r="G241">
        <v>69</v>
      </c>
      <c r="J241" s="1">
        <v>0</v>
      </c>
    </row>
    <row r="242" spans="3:10" x14ac:dyDescent="0.25">
      <c r="C242" s="3" t="s">
        <v>22</v>
      </c>
      <c r="D242" s="5">
        <v>5</v>
      </c>
      <c r="F242" s="4" t="s">
        <v>14</v>
      </c>
      <c r="G242">
        <v>74</v>
      </c>
      <c r="J242" s="5">
        <v>3</v>
      </c>
    </row>
    <row r="243" spans="3:10" x14ac:dyDescent="0.25">
      <c r="C243" s="4" t="s">
        <v>23</v>
      </c>
      <c r="D243" s="1">
        <v>3</v>
      </c>
      <c r="F243" s="4" t="s">
        <v>23</v>
      </c>
      <c r="G243">
        <v>53</v>
      </c>
      <c r="J243" s="1">
        <v>2</v>
      </c>
    </row>
    <row r="244" spans="3:10" x14ac:dyDescent="0.25">
      <c r="C244" s="3" t="s">
        <v>16</v>
      </c>
      <c r="D244" s="5">
        <v>1</v>
      </c>
      <c r="F244" s="4" t="s">
        <v>41</v>
      </c>
      <c r="G244">
        <v>688</v>
      </c>
      <c r="J244" s="5">
        <v>5</v>
      </c>
    </row>
    <row r="245" spans="3:10" x14ac:dyDescent="0.25">
      <c r="C245" s="4" t="s">
        <v>22</v>
      </c>
      <c r="D245" s="1">
        <v>4</v>
      </c>
      <c r="J245" s="1">
        <v>4</v>
      </c>
    </row>
    <row r="246" spans="3:10" x14ac:dyDescent="0.25">
      <c r="C246" s="3" t="s">
        <v>10</v>
      </c>
      <c r="D246" s="5">
        <v>5</v>
      </c>
      <c r="J246" s="5">
        <v>3</v>
      </c>
    </row>
    <row r="247" spans="3:10" x14ac:dyDescent="0.25">
      <c r="C247" s="4" t="s">
        <v>11</v>
      </c>
      <c r="D247" s="1">
        <v>5</v>
      </c>
      <c r="J247" s="1">
        <v>2</v>
      </c>
    </row>
    <row r="248" spans="3:10" x14ac:dyDescent="0.25">
      <c r="C248" s="3" t="s">
        <v>14</v>
      </c>
      <c r="D248" s="5">
        <v>2</v>
      </c>
      <c r="J248" s="5">
        <v>2</v>
      </c>
    </row>
    <row r="249" spans="3:10" x14ac:dyDescent="0.25">
      <c r="C249" s="4" t="s">
        <v>11</v>
      </c>
      <c r="D249" s="1">
        <v>3</v>
      </c>
      <c r="J249" s="1">
        <v>4</v>
      </c>
    </row>
    <row r="250" spans="3:10" x14ac:dyDescent="0.25">
      <c r="C250" s="3" t="s">
        <v>11</v>
      </c>
      <c r="D250" s="5">
        <v>3</v>
      </c>
      <c r="J250" s="5">
        <v>1</v>
      </c>
    </row>
    <row r="251" spans="3:10" x14ac:dyDescent="0.25">
      <c r="C251" s="4" t="s">
        <v>11</v>
      </c>
      <c r="D251" s="1">
        <v>5</v>
      </c>
      <c r="I251" s="4" t="s">
        <v>8</v>
      </c>
      <c r="J251" s="1">
        <v>5</v>
      </c>
    </row>
    <row r="252" spans="3:10" x14ac:dyDescent="0.25">
      <c r="C252" s="3" t="s">
        <v>8</v>
      </c>
      <c r="D252" s="5">
        <v>0</v>
      </c>
      <c r="I252" s="3" t="s">
        <v>16</v>
      </c>
      <c r="J252" s="5">
        <v>1</v>
      </c>
    </row>
    <row r="253" spans="3:10" x14ac:dyDescent="0.25">
      <c r="C253" s="4" t="s">
        <v>22</v>
      </c>
      <c r="D253" s="1">
        <v>4</v>
      </c>
      <c r="I253" s="4" t="s">
        <v>23</v>
      </c>
      <c r="J253" s="1">
        <v>5</v>
      </c>
    </row>
    <row r="254" spans="3:10" x14ac:dyDescent="0.25">
      <c r="C254" s="3" t="s">
        <v>8</v>
      </c>
      <c r="D254" s="5">
        <v>5</v>
      </c>
      <c r="I254" s="3" t="s">
        <v>11</v>
      </c>
      <c r="J254" s="5">
        <v>3</v>
      </c>
    </row>
    <row r="255" spans="3:10" x14ac:dyDescent="0.25">
      <c r="C255" s="4" t="s">
        <v>10</v>
      </c>
      <c r="D255" s="1">
        <v>1</v>
      </c>
      <c r="I255" s="4" t="s">
        <v>10</v>
      </c>
      <c r="J255" s="1">
        <v>4</v>
      </c>
    </row>
    <row r="256" spans="3:10" x14ac:dyDescent="0.25">
      <c r="C256" s="3" t="s">
        <v>8</v>
      </c>
      <c r="D256" s="5">
        <v>5</v>
      </c>
      <c r="I256" s="3" t="s">
        <v>23</v>
      </c>
      <c r="J256" s="5">
        <v>2</v>
      </c>
    </row>
    <row r="257" spans="3:10" x14ac:dyDescent="0.25">
      <c r="C257" s="4" t="s">
        <v>16</v>
      </c>
      <c r="D257" s="1">
        <v>5</v>
      </c>
      <c r="I257" s="4" t="s">
        <v>11</v>
      </c>
      <c r="J257" s="1">
        <v>2</v>
      </c>
    </row>
    <row r="258" spans="3:10" x14ac:dyDescent="0.25">
      <c r="C258" s="3" t="s">
        <v>10</v>
      </c>
      <c r="D258" s="5">
        <v>0</v>
      </c>
      <c r="I258" s="3" t="s">
        <v>16</v>
      </c>
      <c r="J258" s="5">
        <v>0</v>
      </c>
    </row>
    <row r="259" spans="3:10" x14ac:dyDescent="0.25">
      <c r="C259" s="4" t="s">
        <v>10</v>
      </c>
      <c r="D259" s="1">
        <v>5</v>
      </c>
      <c r="I259" s="4" t="s">
        <v>11</v>
      </c>
      <c r="J259" s="1">
        <v>1</v>
      </c>
    </row>
    <row r="260" spans="3:10" x14ac:dyDescent="0.25">
      <c r="C260" s="3" t="s">
        <v>11</v>
      </c>
      <c r="D260" s="5">
        <v>4</v>
      </c>
      <c r="I260" s="3" t="s">
        <v>11</v>
      </c>
      <c r="J260" s="5">
        <v>4</v>
      </c>
    </row>
    <row r="261" spans="3:10" x14ac:dyDescent="0.25">
      <c r="C261" s="4" t="s">
        <v>18</v>
      </c>
      <c r="D261" s="1">
        <v>2</v>
      </c>
      <c r="I261" s="4" t="s">
        <v>18</v>
      </c>
      <c r="J261" s="1">
        <v>3</v>
      </c>
    </row>
    <row r="262" spans="3:10" x14ac:dyDescent="0.25">
      <c r="C262" s="3" t="s">
        <v>11</v>
      </c>
      <c r="D262" s="5">
        <v>5</v>
      </c>
      <c r="I262" s="3" t="s">
        <v>10</v>
      </c>
      <c r="J262" s="5">
        <v>5</v>
      </c>
    </row>
    <row r="263" spans="3:10" x14ac:dyDescent="0.25">
      <c r="C263" s="4" t="s">
        <v>14</v>
      </c>
      <c r="D263" s="1">
        <v>4</v>
      </c>
      <c r="I263" s="4" t="s">
        <v>16</v>
      </c>
      <c r="J263" s="1">
        <v>1</v>
      </c>
    </row>
    <row r="264" spans="3:10" x14ac:dyDescent="0.25">
      <c r="C264" s="3" t="s">
        <v>22</v>
      </c>
      <c r="D264" s="5">
        <v>0</v>
      </c>
      <c r="I264" s="3" t="s">
        <v>20</v>
      </c>
      <c r="J264" s="5">
        <v>2</v>
      </c>
    </row>
    <row r="265" spans="3:10" x14ac:dyDescent="0.25">
      <c r="C265" s="4" t="s">
        <v>11</v>
      </c>
      <c r="D265" s="1">
        <v>5</v>
      </c>
      <c r="I265" s="4" t="s">
        <v>14</v>
      </c>
      <c r="J265" s="1">
        <v>0</v>
      </c>
    </row>
    <row r="266" spans="3:10" x14ac:dyDescent="0.25">
      <c r="C266" s="3" t="s">
        <v>20</v>
      </c>
      <c r="D266" s="5">
        <v>0</v>
      </c>
      <c r="I266" s="3" t="s">
        <v>22</v>
      </c>
      <c r="J266" s="5">
        <v>4</v>
      </c>
    </row>
    <row r="267" spans="3:10" x14ac:dyDescent="0.25">
      <c r="C267" s="4" t="s">
        <v>11</v>
      </c>
      <c r="D267" s="1">
        <v>3</v>
      </c>
      <c r="I267" s="4" t="s">
        <v>14</v>
      </c>
      <c r="J267" s="1">
        <v>3</v>
      </c>
    </row>
    <row r="268" spans="3:10" x14ac:dyDescent="0.25">
      <c r="C268" s="3" t="s">
        <v>11</v>
      </c>
      <c r="D268" s="5">
        <v>3</v>
      </c>
      <c r="I268" s="3" t="s">
        <v>11</v>
      </c>
      <c r="J268" s="5">
        <v>3</v>
      </c>
    </row>
    <row r="269" spans="3:10" x14ac:dyDescent="0.25">
      <c r="C269" s="4" t="s">
        <v>16</v>
      </c>
      <c r="D269" s="1">
        <v>1</v>
      </c>
      <c r="I269" s="4" t="s">
        <v>22</v>
      </c>
      <c r="J269" s="1">
        <v>0</v>
      </c>
    </row>
    <row r="270" spans="3:10" x14ac:dyDescent="0.25">
      <c r="C270" s="3" t="s">
        <v>10</v>
      </c>
      <c r="D270" s="5">
        <v>3</v>
      </c>
      <c r="I270" s="3" t="s">
        <v>22</v>
      </c>
      <c r="J270" s="5">
        <v>4</v>
      </c>
    </row>
    <row r="271" spans="3:10" x14ac:dyDescent="0.25">
      <c r="C271" s="4" t="s">
        <v>11</v>
      </c>
      <c r="D271" s="1">
        <v>5</v>
      </c>
      <c r="I271" s="4" t="s">
        <v>11</v>
      </c>
      <c r="J271" s="1">
        <v>5</v>
      </c>
    </row>
    <row r="272" spans="3:10" x14ac:dyDescent="0.25">
      <c r="C272" s="3" t="s">
        <v>11</v>
      </c>
      <c r="D272" s="5">
        <v>6</v>
      </c>
      <c r="I272" s="3" t="s">
        <v>11</v>
      </c>
      <c r="J272" s="5">
        <v>3</v>
      </c>
    </row>
    <row r="273" spans="3:10" x14ac:dyDescent="0.25">
      <c r="C273" s="4" t="s">
        <v>11</v>
      </c>
      <c r="D273" s="1">
        <v>3</v>
      </c>
      <c r="I273" s="4" t="s">
        <v>18</v>
      </c>
      <c r="J273" s="1">
        <v>0</v>
      </c>
    </row>
    <row r="274" spans="3:10" x14ac:dyDescent="0.25">
      <c r="C274" s="3" t="s">
        <v>16</v>
      </c>
      <c r="D274" s="5">
        <v>3</v>
      </c>
      <c r="I274" s="3" t="s">
        <v>20</v>
      </c>
      <c r="J274" s="5">
        <v>4</v>
      </c>
    </row>
    <row r="275" spans="3:10" x14ac:dyDescent="0.25">
      <c r="C275" s="4" t="s">
        <v>11</v>
      </c>
      <c r="D275" s="1">
        <v>3</v>
      </c>
      <c r="I275" s="4" t="s">
        <v>11</v>
      </c>
      <c r="J275" s="1">
        <v>2</v>
      </c>
    </row>
    <row r="276" spans="3:10" x14ac:dyDescent="0.25">
      <c r="C276" s="3" t="s">
        <v>13</v>
      </c>
      <c r="D276" s="5">
        <v>0</v>
      </c>
      <c r="I276" s="3" t="s">
        <v>10</v>
      </c>
      <c r="J276" s="5">
        <v>2</v>
      </c>
    </row>
    <row r="277" spans="3:10" x14ac:dyDescent="0.25">
      <c r="C277" s="4" t="s">
        <v>10</v>
      </c>
      <c r="D277" s="1">
        <v>1</v>
      </c>
      <c r="I277" s="4" t="s">
        <v>11</v>
      </c>
      <c r="J277" s="1">
        <v>2</v>
      </c>
    </row>
    <row r="278" spans="3:10" x14ac:dyDescent="0.25">
      <c r="C278" s="3" t="s">
        <v>22</v>
      </c>
      <c r="D278" s="5">
        <v>2</v>
      </c>
      <c r="I278" s="3" t="s">
        <v>11</v>
      </c>
      <c r="J278" s="5">
        <v>4</v>
      </c>
    </row>
    <row r="279" spans="3:10" x14ac:dyDescent="0.25">
      <c r="C279" s="4" t="s">
        <v>16</v>
      </c>
      <c r="D279" s="1">
        <v>1</v>
      </c>
      <c r="I279" s="4" t="s">
        <v>22</v>
      </c>
      <c r="J279" s="1">
        <v>1</v>
      </c>
    </row>
    <row r="280" spans="3:10" x14ac:dyDescent="0.25">
      <c r="C280" s="3" t="s">
        <v>13</v>
      </c>
      <c r="D280" s="5">
        <v>2</v>
      </c>
      <c r="I280" s="3" t="s">
        <v>22</v>
      </c>
      <c r="J280" s="5">
        <v>4</v>
      </c>
    </row>
    <row r="281" spans="3:10" x14ac:dyDescent="0.25">
      <c r="C281" s="4" t="s">
        <v>18</v>
      </c>
      <c r="D281" s="1">
        <v>0</v>
      </c>
      <c r="I281" s="4" t="s">
        <v>14</v>
      </c>
      <c r="J281" s="1">
        <v>1</v>
      </c>
    </row>
    <row r="282" spans="3:10" x14ac:dyDescent="0.25">
      <c r="C282" s="3" t="s">
        <v>8</v>
      </c>
      <c r="D282" s="5">
        <v>0</v>
      </c>
      <c r="I282" s="3" t="s">
        <v>13</v>
      </c>
      <c r="J282" s="5">
        <v>4</v>
      </c>
    </row>
    <row r="283" spans="3:10" x14ac:dyDescent="0.25">
      <c r="C283" s="4" t="s">
        <v>11</v>
      </c>
      <c r="D283" s="1">
        <v>4</v>
      </c>
      <c r="I283" s="4" t="s">
        <v>13</v>
      </c>
      <c r="J283" s="1">
        <v>2</v>
      </c>
    </row>
    <row r="284" spans="3:10" x14ac:dyDescent="0.25">
      <c r="C284" s="3" t="s">
        <v>20</v>
      </c>
      <c r="D284" s="5">
        <v>0</v>
      </c>
      <c r="I284" s="3" t="s">
        <v>14</v>
      </c>
      <c r="J284" s="5">
        <v>1</v>
      </c>
    </row>
    <row r="285" spans="3:10" x14ac:dyDescent="0.25">
      <c r="C285" s="4" t="s">
        <v>11</v>
      </c>
      <c r="D285" s="1">
        <v>2</v>
      </c>
      <c r="I285" s="4" t="s">
        <v>13</v>
      </c>
      <c r="J285" s="1">
        <v>1</v>
      </c>
    </row>
    <row r="286" spans="3:10" x14ac:dyDescent="0.25">
      <c r="C286" s="3" t="s">
        <v>22</v>
      </c>
      <c r="D286" s="5">
        <v>3</v>
      </c>
      <c r="I286" s="3" t="s">
        <v>11</v>
      </c>
      <c r="J286" s="5">
        <v>4</v>
      </c>
    </row>
    <row r="287" spans="3:10" x14ac:dyDescent="0.25">
      <c r="C287" s="4" t="s">
        <v>11</v>
      </c>
      <c r="D287" s="1">
        <v>2</v>
      </c>
      <c r="I287" s="4" t="s">
        <v>11</v>
      </c>
      <c r="J287" s="1">
        <v>4</v>
      </c>
    </row>
    <row r="288" spans="3:10" x14ac:dyDescent="0.25">
      <c r="C288" s="3" t="s">
        <v>11</v>
      </c>
      <c r="D288" s="5">
        <v>5</v>
      </c>
      <c r="I288" s="3" t="s">
        <v>11</v>
      </c>
      <c r="J288" s="5">
        <v>6</v>
      </c>
    </row>
    <row r="289" spans="3:10" x14ac:dyDescent="0.25">
      <c r="C289" s="4" t="s">
        <v>14</v>
      </c>
      <c r="D289" s="1">
        <v>4</v>
      </c>
      <c r="I289" s="4" t="s">
        <v>13</v>
      </c>
      <c r="J289" s="1">
        <v>1</v>
      </c>
    </row>
    <row r="290" spans="3:10" x14ac:dyDescent="0.25">
      <c r="C290" s="3" t="s">
        <v>22</v>
      </c>
      <c r="D290" s="5">
        <v>0</v>
      </c>
      <c r="I290" s="3" t="s">
        <v>16</v>
      </c>
      <c r="J290" s="5">
        <v>0</v>
      </c>
    </row>
    <row r="291" spans="3:10" x14ac:dyDescent="0.25">
      <c r="C291" s="4" t="s">
        <v>13</v>
      </c>
      <c r="D291" s="1">
        <v>3</v>
      </c>
      <c r="I291" s="4" t="s">
        <v>16</v>
      </c>
      <c r="J291" s="1">
        <v>1</v>
      </c>
    </row>
    <row r="292" spans="3:10" x14ac:dyDescent="0.25">
      <c r="C292" s="3" t="s">
        <v>22</v>
      </c>
      <c r="D292" s="5">
        <v>2</v>
      </c>
      <c r="I292" s="3" t="s">
        <v>18</v>
      </c>
      <c r="J292" s="5">
        <v>3</v>
      </c>
    </row>
    <row r="293" spans="3:10" x14ac:dyDescent="0.25">
      <c r="C293" s="4" t="s">
        <v>14</v>
      </c>
      <c r="D293" s="1">
        <v>1</v>
      </c>
      <c r="I293" s="4" t="s">
        <v>13</v>
      </c>
      <c r="J293" s="1">
        <v>4</v>
      </c>
    </row>
    <row r="294" spans="3:10" x14ac:dyDescent="0.25">
      <c r="C294" s="3" t="s">
        <v>18</v>
      </c>
      <c r="D294" s="5">
        <v>2</v>
      </c>
      <c r="I294" s="3" t="s">
        <v>11</v>
      </c>
      <c r="J294" s="5">
        <v>2</v>
      </c>
    </row>
    <row r="295" spans="3:10" x14ac:dyDescent="0.25">
      <c r="C295" s="4" t="s">
        <v>8</v>
      </c>
      <c r="D295" s="1">
        <v>2</v>
      </c>
      <c r="I295" s="4" t="s">
        <v>22</v>
      </c>
      <c r="J295" s="1">
        <v>0</v>
      </c>
    </row>
    <row r="296" spans="3:10" x14ac:dyDescent="0.25">
      <c r="C296" s="3" t="s">
        <v>16</v>
      </c>
      <c r="D296" s="5">
        <v>0</v>
      </c>
      <c r="I296" s="3" t="s">
        <v>11</v>
      </c>
      <c r="J296" s="5">
        <v>1</v>
      </c>
    </row>
    <row r="297" spans="3:10" x14ac:dyDescent="0.25">
      <c r="C297" s="4" t="s">
        <v>13</v>
      </c>
      <c r="D297" s="1">
        <v>1</v>
      </c>
      <c r="I297" s="4" t="s">
        <v>13</v>
      </c>
      <c r="J297" s="1">
        <v>5</v>
      </c>
    </row>
    <row r="298" spans="3:10" x14ac:dyDescent="0.25">
      <c r="C298" s="3" t="s">
        <v>11</v>
      </c>
      <c r="D298" s="5">
        <v>4</v>
      </c>
      <c r="I298" s="3" t="s">
        <v>22</v>
      </c>
      <c r="J298" s="5">
        <v>1</v>
      </c>
    </row>
    <row r="299" spans="3:10" x14ac:dyDescent="0.25">
      <c r="C299" s="4" t="s">
        <v>14</v>
      </c>
      <c r="D299" s="1">
        <v>5</v>
      </c>
      <c r="I299" s="4" t="s">
        <v>18</v>
      </c>
      <c r="J299" s="1">
        <v>2</v>
      </c>
    </row>
    <row r="300" spans="3:10" x14ac:dyDescent="0.25">
      <c r="C300" s="3" t="s">
        <v>23</v>
      </c>
      <c r="D300" s="5">
        <v>1</v>
      </c>
      <c r="I300" s="3" t="s">
        <v>16</v>
      </c>
      <c r="J300" s="5">
        <v>2</v>
      </c>
    </row>
    <row r="301" spans="3:10" x14ac:dyDescent="0.25">
      <c r="C301" s="4" t="s">
        <v>10</v>
      </c>
      <c r="D301" s="1">
        <v>3</v>
      </c>
      <c r="I301" s="4" t="s">
        <v>23</v>
      </c>
      <c r="J301" s="1">
        <v>1</v>
      </c>
    </row>
    <row r="302" spans="3:10" x14ac:dyDescent="0.25">
      <c r="C302" s="3" t="s">
        <v>8</v>
      </c>
      <c r="D302" s="5">
        <v>3</v>
      </c>
      <c r="I302" s="3" t="s">
        <v>10</v>
      </c>
      <c r="J302" s="5">
        <v>0</v>
      </c>
    </row>
    <row r="303" spans="3:10" x14ac:dyDescent="0.25">
      <c r="C303" s="4" t="s">
        <v>8</v>
      </c>
      <c r="D303" s="1">
        <v>3</v>
      </c>
      <c r="I303" s="4" t="s">
        <v>11</v>
      </c>
      <c r="J303" s="1">
        <v>3</v>
      </c>
    </row>
    <row r="304" spans="3:10" x14ac:dyDescent="0.25">
      <c r="C304" s="3" t="s">
        <v>14</v>
      </c>
      <c r="D304" s="5">
        <v>5</v>
      </c>
      <c r="I304" s="3" t="s">
        <v>20</v>
      </c>
      <c r="J304" s="5">
        <v>5</v>
      </c>
    </row>
    <row r="305" spans="3:10" x14ac:dyDescent="0.25">
      <c r="C305" s="4" t="s">
        <v>23</v>
      </c>
      <c r="D305" s="1">
        <v>1</v>
      </c>
      <c r="I305" s="4" t="s">
        <v>22</v>
      </c>
      <c r="J305" s="1">
        <v>0</v>
      </c>
    </row>
    <row r="306" spans="3:10" x14ac:dyDescent="0.25">
      <c r="C306" s="3" t="s">
        <v>10</v>
      </c>
      <c r="D306" s="5">
        <v>1</v>
      </c>
      <c r="I306" s="3" t="s">
        <v>23</v>
      </c>
      <c r="J306" s="5">
        <v>3</v>
      </c>
    </row>
    <row r="307" spans="3:10" x14ac:dyDescent="0.25">
      <c r="C307" s="4" t="s">
        <v>23</v>
      </c>
      <c r="D307" s="1">
        <v>3</v>
      </c>
      <c r="I307" s="4" t="s">
        <v>22</v>
      </c>
      <c r="J307" s="1">
        <v>2</v>
      </c>
    </row>
    <row r="308" spans="3:10" x14ac:dyDescent="0.25">
      <c r="C308" s="3" t="s">
        <v>11</v>
      </c>
      <c r="D308" s="5">
        <v>5</v>
      </c>
      <c r="I308" s="3" t="s">
        <v>18</v>
      </c>
      <c r="J308" s="5">
        <v>2</v>
      </c>
    </row>
    <row r="309" spans="3:10" x14ac:dyDescent="0.25">
      <c r="C309" s="4" t="s">
        <v>18</v>
      </c>
      <c r="D309" s="1">
        <v>3</v>
      </c>
      <c r="I309" s="4" t="s">
        <v>14</v>
      </c>
      <c r="J309" s="1">
        <v>0</v>
      </c>
    </row>
    <row r="310" spans="3:10" x14ac:dyDescent="0.25">
      <c r="C310" s="3" t="s">
        <v>18</v>
      </c>
      <c r="D310" s="5">
        <v>1</v>
      </c>
      <c r="I310" s="3" t="s">
        <v>14</v>
      </c>
      <c r="J310" s="5">
        <v>3</v>
      </c>
    </row>
    <row r="311" spans="3:10" x14ac:dyDescent="0.25">
      <c r="C311" s="4" t="s">
        <v>8</v>
      </c>
      <c r="D311" s="1">
        <v>1</v>
      </c>
      <c r="I311" s="4" t="s">
        <v>16</v>
      </c>
      <c r="J311" s="1">
        <v>3</v>
      </c>
    </row>
    <row r="312" spans="3:10" x14ac:dyDescent="0.25">
      <c r="C312" s="3" t="s">
        <v>11</v>
      </c>
      <c r="D312" s="5">
        <v>5</v>
      </c>
      <c r="I312" s="3" t="s">
        <v>20</v>
      </c>
      <c r="J312" s="5">
        <v>4</v>
      </c>
    </row>
    <row r="313" spans="3:10" x14ac:dyDescent="0.25">
      <c r="C313" s="4" t="s">
        <v>11</v>
      </c>
      <c r="D313" s="1">
        <v>5</v>
      </c>
      <c r="I313" s="4" t="s">
        <v>14</v>
      </c>
      <c r="J313" s="1">
        <v>4</v>
      </c>
    </row>
    <row r="314" spans="3:10" x14ac:dyDescent="0.25">
      <c r="C314" s="3" t="s">
        <v>22</v>
      </c>
      <c r="D314" s="5">
        <v>2</v>
      </c>
      <c r="I314" s="3" t="s">
        <v>23</v>
      </c>
      <c r="J314" s="5">
        <v>4</v>
      </c>
    </row>
    <row r="315" spans="3:10" x14ac:dyDescent="0.25">
      <c r="C315" s="4" t="s">
        <v>11</v>
      </c>
      <c r="D315" s="1">
        <v>4</v>
      </c>
      <c r="I315" s="4" t="s">
        <v>22</v>
      </c>
      <c r="J315" s="1">
        <v>1</v>
      </c>
    </row>
    <row r="316" spans="3:10" x14ac:dyDescent="0.25">
      <c r="C316" s="3" t="s">
        <v>11</v>
      </c>
      <c r="D316" s="5">
        <v>7</v>
      </c>
      <c r="I316" s="3" t="s">
        <v>22</v>
      </c>
      <c r="J316" s="5">
        <v>2</v>
      </c>
    </row>
    <row r="317" spans="3:10" x14ac:dyDescent="0.25">
      <c r="C317" s="4" t="s">
        <v>16</v>
      </c>
      <c r="D317" s="1">
        <v>2</v>
      </c>
      <c r="I317" s="4" t="s">
        <v>18</v>
      </c>
      <c r="J317" s="1">
        <v>1</v>
      </c>
    </row>
    <row r="318" spans="3:10" x14ac:dyDescent="0.25">
      <c r="C318" s="3" t="s">
        <v>11</v>
      </c>
      <c r="D318" s="5">
        <v>3</v>
      </c>
      <c r="I318" s="3" t="s">
        <v>18</v>
      </c>
      <c r="J318" s="5">
        <v>5</v>
      </c>
    </row>
    <row r="319" spans="3:10" x14ac:dyDescent="0.25">
      <c r="C319" s="4" t="s">
        <v>8</v>
      </c>
      <c r="D319" s="1">
        <v>1</v>
      </c>
      <c r="I319" s="4" t="s">
        <v>18</v>
      </c>
      <c r="J319" s="1">
        <v>2</v>
      </c>
    </row>
    <row r="320" spans="3:10" x14ac:dyDescent="0.25">
      <c r="C320" s="3" t="s">
        <v>22</v>
      </c>
      <c r="D320" s="5">
        <v>5</v>
      </c>
      <c r="I320" s="3" t="s">
        <v>18</v>
      </c>
      <c r="J320" s="5">
        <v>3</v>
      </c>
    </row>
    <row r="321" spans="3:10" x14ac:dyDescent="0.25">
      <c r="C321" s="4" t="s">
        <v>11</v>
      </c>
      <c r="D321" s="1">
        <v>5</v>
      </c>
      <c r="I321" s="4" t="s">
        <v>14</v>
      </c>
      <c r="J321" s="1">
        <v>5</v>
      </c>
    </row>
    <row r="322" spans="3:10" x14ac:dyDescent="0.25">
      <c r="C322" s="3" t="s">
        <v>14</v>
      </c>
      <c r="D322" s="5">
        <v>0</v>
      </c>
      <c r="I322" s="3" t="s">
        <v>18</v>
      </c>
      <c r="J322" s="5">
        <v>1</v>
      </c>
    </row>
    <row r="323" spans="3:10" x14ac:dyDescent="0.25">
      <c r="C323" s="4" t="s">
        <v>11</v>
      </c>
      <c r="D323" s="1">
        <v>2</v>
      </c>
      <c r="I323" s="4" t="s">
        <v>20</v>
      </c>
      <c r="J323" s="1">
        <v>3</v>
      </c>
    </row>
    <row r="324" spans="3:10" x14ac:dyDescent="0.25">
      <c r="C324" s="3" t="s">
        <v>11</v>
      </c>
      <c r="D324" s="5">
        <v>4</v>
      </c>
      <c r="I324" s="3" t="s">
        <v>14</v>
      </c>
      <c r="J324" s="5">
        <v>0</v>
      </c>
    </row>
    <row r="325" spans="3:10" x14ac:dyDescent="0.25">
      <c r="C325" s="4" t="s">
        <v>20</v>
      </c>
      <c r="D325" s="1">
        <v>5</v>
      </c>
      <c r="I325" s="4" t="s">
        <v>20</v>
      </c>
      <c r="J325" s="1">
        <v>3</v>
      </c>
    </row>
    <row r="326" spans="3:10" x14ac:dyDescent="0.25">
      <c r="C326" s="3" t="s">
        <v>11</v>
      </c>
      <c r="D326" s="5">
        <v>5</v>
      </c>
      <c r="I326" s="3" t="s">
        <v>20</v>
      </c>
      <c r="J326" s="5">
        <v>2</v>
      </c>
    </row>
    <row r="327" spans="3:10" x14ac:dyDescent="0.25">
      <c r="C327" s="4" t="s">
        <v>10</v>
      </c>
      <c r="D327" s="1">
        <v>5</v>
      </c>
      <c r="I327" s="4" t="s">
        <v>10</v>
      </c>
      <c r="J327" s="1">
        <v>2</v>
      </c>
    </row>
    <row r="328" spans="3:10" x14ac:dyDescent="0.25">
      <c r="C328" s="3" t="s">
        <v>11</v>
      </c>
      <c r="D328" s="5">
        <v>4</v>
      </c>
      <c r="I328" s="3" t="s">
        <v>11</v>
      </c>
      <c r="J328" s="5">
        <v>2</v>
      </c>
    </row>
    <row r="329" spans="3:10" x14ac:dyDescent="0.25">
      <c r="C329" s="4" t="s">
        <v>22</v>
      </c>
      <c r="D329" s="1">
        <v>1</v>
      </c>
      <c r="I329" s="4" t="s">
        <v>11</v>
      </c>
      <c r="J329" s="1">
        <v>2</v>
      </c>
    </row>
    <row r="330" spans="3:10" x14ac:dyDescent="0.25">
      <c r="C330" s="3" t="s">
        <v>11</v>
      </c>
      <c r="D330" s="5">
        <v>3</v>
      </c>
      <c r="I330" s="3" t="s">
        <v>20</v>
      </c>
      <c r="J330" s="5">
        <v>3</v>
      </c>
    </row>
    <row r="331" spans="3:10" x14ac:dyDescent="0.25">
      <c r="C331" s="4" t="s">
        <v>8</v>
      </c>
      <c r="D331" s="1">
        <v>2</v>
      </c>
      <c r="I331" s="4" t="s">
        <v>8</v>
      </c>
      <c r="J331" s="1">
        <v>3</v>
      </c>
    </row>
    <row r="332" spans="3:10" x14ac:dyDescent="0.25">
      <c r="C332" s="3" t="s">
        <v>13</v>
      </c>
      <c r="D332" s="5">
        <v>5</v>
      </c>
      <c r="I332" s="3" t="s">
        <v>18</v>
      </c>
      <c r="J332" s="5">
        <v>5</v>
      </c>
    </row>
    <row r="333" spans="3:10" ht="15.75" thickBot="1" x14ac:dyDescent="0.3">
      <c r="C333" s="4" t="s">
        <v>16</v>
      </c>
      <c r="D333" s="1">
        <v>1</v>
      </c>
      <c r="I333" s="42" t="s">
        <v>14</v>
      </c>
      <c r="J333" s="43">
        <v>1</v>
      </c>
    </row>
    <row r="334" spans="3:10" x14ac:dyDescent="0.25">
      <c r="C334" s="3" t="s">
        <v>18</v>
      </c>
      <c r="D334" s="5">
        <v>4</v>
      </c>
    </row>
    <row r="335" spans="3:10" x14ac:dyDescent="0.25">
      <c r="C335" s="4" t="s">
        <v>11</v>
      </c>
      <c r="D335" s="1">
        <v>3</v>
      </c>
    </row>
    <row r="336" spans="3:10" x14ac:dyDescent="0.25">
      <c r="C336" s="3" t="s">
        <v>11</v>
      </c>
      <c r="D336" s="5">
        <v>4</v>
      </c>
    </row>
    <row r="337" spans="3:11" x14ac:dyDescent="0.25">
      <c r="C337" s="4" t="s">
        <v>11</v>
      </c>
      <c r="D337" s="1">
        <v>5</v>
      </c>
    </row>
    <row r="338" spans="3:11" x14ac:dyDescent="0.25">
      <c r="C338" s="3" t="s">
        <v>22</v>
      </c>
      <c r="D338" s="5">
        <v>3</v>
      </c>
    </row>
    <row r="339" spans="3:11" x14ac:dyDescent="0.25">
      <c r="C339" s="4" t="s">
        <v>11</v>
      </c>
      <c r="D339" s="1">
        <v>4</v>
      </c>
    </row>
    <row r="340" spans="3:11" ht="15.75" thickBot="1" x14ac:dyDescent="0.3">
      <c r="C340" s="3" t="s">
        <v>16</v>
      </c>
      <c r="D340" s="5">
        <v>0</v>
      </c>
    </row>
    <row r="341" spans="3:11" ht="15.75" thickBot="1" x14ac:dyDescent="0.3">
      <c r="C341" s="4" t="s">
        <v>22</v>
      </c>
      <c r="D341" s="1">
        <v>2</v>
      </c>
      <c r="G341" s="39" t="s">
        <v>3</v>
      </c>
      <c r="H341" s="39" t="s">
        <v>4</v>
      </c>
    </row>
    <row r="342" spans="3:11" x14ac:dyDescent="0.25">
      <c r="C342" s="3" t="s">
        <v>11</v>
      </c>
      <c r="D342" s="5">
        <v>4</v>
      </c>
      <c r="G342" s="3" t="s">
        <v>11</v>
      </c>
      <c r="H342" s="5">
        <v>3</v>
      </c>
    </row>
    <row r="343" spans="3:11" x14ac:dyDescent="0.25">
      <c r="C343" s="4" t="s">
        <v>11</v>
      </c>
      <c r="D343" s="1">
        <v>5</v>
      </c>
      <c r="G343" s="4" t="s">
        <v>16</v>
      </c>
      <c r="H343" s="1">
        <v>6</v>
      </c>
    </row>
    <row r="344" spans="3:11" x14ac:dyDescent="0.25">
      <c r="C344" s="3" t="s">
        <v>11</v>
      </c>
      <c r="D344" s="5">
        <v>4</v>
      </c>
      <c r="G344" s="3" t="s">
        <v>11</v>
      </c>
      <c r="H344" s="5">
        <v>2</v>
      </c>
    </row>
    <row r="345" spans="3:11" x14ac:dyDescent="0.25">
      <c r="C345" s="4" t="s">
        <v>23</v>
      </c>
      <c r="D345" s="1">
        <v>0</v>
      </c>
      <c r="G345" s="4" t="s">
        <v>23</v>
      </c>
      <c r="H345" s="1">
        <v>0</v>
      </c>
    </row>
    <row r="346" spans="3:11" x14ac:dyDescent="0.25">
      <c r="C346" s="3" t="s">
        <v>13</v>
      </c>
      <c r="D346" s="5">
        <v>3</v>
      </c>
      <c r="G346" s="3" t="s">
        <v>11</v>
      </c>
      <c r="H346" s="5">
        <v>1</v>
      </c>
    </row>
    <row r="347" spans="3:11" x14ac:dyDescent="0.25">
      <c r="C347" s="4" t="s">
        <v>16</v>
      </c>
      <c r="D347" s="1">
        <v>2</v>
      </c>
      <c r="G347" s="4" t="s">
        <v>11</v>
      </c>
      <c r="H347" s="1">
        <v>3</v>
      </c>
      <c r="J347" s="30" t="s">
        <v>72</v>
      </c>
      <c r="K347" t="s">
        <v>56</v>
      </c>
    </row>
    <row r="348" spans="3:11" x14ac:dyDescent="0.25">
      <c r="C348" s="3" t="s">
        <v>18</v>
      </c>
      <c r="D348" s="5">
        <v>5</v>
      </c>
      <c r="G348" s="3" t="s">
        <v>11</v>
      </c>
      <c r="H348" s="5">
        <v>3</v>
      </c>
      <c r="J348" s="4" t="s">
        <v>10</v>
      </c>
      <c r="K348">
        <v>11</v>
      </c>
    </row>
    <row r="349" spans="3:11" x14ac:dyDescent="0.25">
      <c r="C349" s="4" t="s">
        <v>11</v>
      </c>
      <c r="D349" s="1">
        <v>4</v>
      </c>
      <c r="G349" s="4" t="s">
        <v>10</v>
      </c>
      <c r="H349" s="1">
        <v>5</v>
      </c>
      <c r="J349" s="4" t="s">
        <v>13</v>
      </c>
      <c r="K349">
        <v>24</v>
      </c>
    </row>
    <row r="350" spans="3:11" x14ac:dyDescent="0.25">
      <c r="C350" s="3" t="s">
        <v>22</v>
      </c>
      <c r="D350" s="5">
        <v>4</v>
      </c>
      <c r="G350" s="3" t="s">
        <v>11</v>
      </c>
      <c r="H350" s="5">
        <v>2</v>
      </c>
      <c r="J350" s="4" t="s">
        <v>16</v>
      </c>
      <c r="K350">
        <v>30</v>
      </c>
    </row>
    <row r="351" spans="3:11" x14ac:dyDescent="0.25">
      <c r="C351" s="4" t="s">
        <v>14</v>
      </c>
      <c r="D351" s="1">
        <v>3</v>
      </c>
      <c r="G351" s="4" t="s">
        <v>11</v>
      </c>
      <c r="H351" s="1">
        <v>3</v>
      </c>
      <c r="J351" s="4" t="s">
        <v>18</v>
      </c>
      <c r="K351">
        <v>10</v>
      </c>
    </row>
    <row r="352" spans="3:11" x14ac:dyDescent="0.25">
      <c r="C352" s="3" t="s">
        <v>11</v>
      </c>
      <c r="D352" s="5">
        <v>3</v>
      </c>
      <c r="G352" s="3" t="s">
        <v>18</v>
      </c>
      <c r="H352" s="5">
        <v>4</v>
      </c>
      <c r="J352" s="4" t="s">
        <v>11</v>
      </c>
      <c r="K352">
        <v>600</v>
      </c>
    </row>
    <row r="353" spans="3:11" x14ac:dyDescent="0.25">
      <c r="C353" s="4" t="s">
        <v>13</v>
      </c>
      <c r="D353" s="1">
        <v>2</v>
      </c>
      <c r="G353" s="4" t="s">
        <v>11</v>
      </c>
      <c r="H353" s="1">
        <v>2</v>
      </c>
      <c r="J353" s="4" t="s">
        <v>22</v>
      </c>
      <c r="K353">
        <v>41</v>
      </c>
    </row>
    <row r="354" spans="3:11" x14ac:dyDescent="0.25">
      <c r="C354" s="3" t="s">
        <v>20</v>
      </c>
      <c r="D354" s="5">
        <v>2</v>
      </c>
      <c r="G354" s="3" t="s">
        <v>11</v>
      </c>
      <c r="H354" s="5">
        <v>2</v>
      </c>
      <c r="J354" s="4" t="s">
        <v>20</v>
      </c>
      <c r="K354">
        <v>25</v>
      </c>
    </row>
    <row r="355" spans="3:11" x14ac:dyDescent="0.25">
      <c r="C355" s="4" t="s">
        <v>22</v>
      </c>
      <c r="D355" s="1">
        <v>4</v>
      </c>
      <c r="G355" s="4" t="s">
        <v>20</v>
      </c>
      <c r="H355" s="1">
        <v>6</v>
      </c>
      <c r="J355" s="4" t="s">
        <v>8</v>
      </c>
      <c r="K355">
        <v>8</v>
      </c>
    </row>
    <row r="356" spans="3:11" x14ac:dyDescent="0.25">
      <c r="C356" s="3" t="s">
        <v>11</v>
      </c>
      <c r="D356" s="5">
        <v>3</v>
      </c>
      <c r="G356" s="3" t="s">
        <v>11</v>
      </c>
      <c r="H356" s="5">
        <v>5</v>
      </c>
      <c r="J356" s="4" t="s">
        <v>14</v>
      </c>
      <c r="K356">
        <v>35</v>
      </c>
    </row>
    <row r="357" spans="3:11" x14ac:dyDescent="0.25">
      <c r="C357" s="4" t="s">
        <v>22</v>
      </c>
      <c r="D357" s="1">
        <v>1</v>
      </c>
      <c r="G357" s="4" t="s">
        <v>11</v>
      </c>
      <c r="H357" s="1">
        <v>5</v>
      </c>
      <c r="J357" s="4" t="s">
        <v>23</v>
      </c>
      <c r="K357">
        <v>13</v>
      </c>
    </row>
    <row r="358" spans="3:11" x14ac:dyDescent="0.25">
      <c r="C358" s="3" t="s">
        <v>8</v>
      </c>
      <c r="D358" s="5">
        <v>5</v>
      </c>
      <c r="G358" s="3" t="s">
        <v>11</v>
      </c>
      <c r="H358" s="5">
        <v>4</v>
      </c>
      <c r="J358" s="4" t="s">
        <v>41</v>
      </c>
      <c r="K358">
        <v>797</v>
      </c>
    </row>
    <row r="359" spans="3:11" x14ac:dyDescent="0.25">
      <c r="C359" s="4" t="s">
        <v>11</v>
      </c>
      <c r="D359" s="1">
        <v>3</v>
      </c>
      <c r="G359" s="4" t="s">
        <v>11</v>
      </c>
      <c r="H359" s="1">
        <v>5</v>
      </c>
    </row>
    <row r="360" spans="3:11" x14ac:dyDescent="0.25">
      <c r="C360" s="3" t="s">
        <v>16</v>
      </c>
      <c r="D360" s="5">
        <v>1</v>
      </c>
      <c r="G360" s="3" t="s">
        <v>8</v>
      </c>
      <c r="H360" s="5">
        <v>6</v>
      </c>
    </row>
    <row r="361" spans="3:11" x14ac:dyDescent="0.25">
      <c r="C361" s="4" t="s">
        <v>23</v>
      </c>
      <c r="D361" s="1">
        <v>5</v>
      </c>
      <c r="G361" s="4" t="s">
        <v>11</v>
      </c>
      <c r="H361" s="1">
        <v>4</v>
      </c>
    </row>
    <row r="362" spans="3:11" x14ac:dyDescent="0.25">
      <c r="C362" s="3" t="s">
        <v>11</v>
      </c>
      <c r="D362" s="5">
        <v>3</v>
      </c>
      <c r="G362" s="3" t="s">
        <v>11</v>
      </c>
      <c r="H362" s="5">
        <v>4</v>
      </c>
    </row>
    <row r="363" spans="3:11" x14ac:dyDescent="0.25">
      <c r="C363" s="4" t="s">
        <v>10</v>
      </c>
      <c r="D363" s="1">
        <v>4</v>
      </c>
      <c r="G363" s="4" t="s">
        <v>11</v>
      </c>
      <c r="H363" s="1">
        <v>5</v>
      </c>
    </row>
    <row r="364" spans="3:11" x14ac:dyDescent="0.25">
      <c r="C364" s="3" t="s">
        <v>11</v>
      </c>
      <c r="D364" s="5">
        <v>4</v>
      </c>
      <c r="G364" s="3" t="s">
        <v>11</v>
      </c>
      <c r="H364" s="5">
        <v>5</v>
      </c>
    </row>
    <row r="365" spans="3:11" x14ac:dyDescent="0.25">
      <c r="C365" s="4" t="s">
        <v>23</v>
      </c>
      <c r="D365" s="1">
        <v>2</v>
      </c>
      <c r="G365" s="4" t="s">
        <v>11</v>
      </c>
      <c r="H365" s="1">
        <v>4</v>
      </c>
    </row>
    <row r="366" spans="3:11" x14ac:dyDescent="0.25">
      <c r="C366" s="3" t="s">
        <v>11</v>
      </c>
      <c r="D366" s="5">
        <v>2</v>
      </c>
      <c r="G366" s="3" t="s">
        <v>11</v>
      </c>
      <c r="H366" s="5">
        <v>3</v>
      </c>
    </row>
    <row r="367" spans="3:11" x14ac:dyDescent="0.25">
      <c r="C367" s="4" t="s">
        <v>11</v>
      </c>
      <c r="D367" s="1">
        <v>4</v>
      </c>
      <c r="G367" s="4" t="s">
        <v>14</v>
      </c>
      <c r="H367" s="1">
        <v>5</v>
      </c>
    </row>
    <row r="368" spans="3:11" x14ac:dyDescent="0.25">
      <c r="C368" s="3" t="s">
        <v>11</v>
      </c>
      <c r="D368" s="5">
        <v>3</v>
      </c>
      <c r="G368" s="3" t="s">
        <v>11</v>
      </c>
      <c r="H368" s="5">
        <v>4</v>
      </c>
    </row>
    <row r="369" spans="3:8" x14ac:dyDescent="0.25">
      <c r="C369" s="4" t="s">
        <v>11</v>
      </c>
      <c r="D369" s="1">
        <v>5</v>
      </c>
      <c r="G369" s="4" t="s">
        <v>14</v>
      </c>
      <c r="H369" s="1">
        <v>5</v>
      </c>
    </row>
    <row r="370" spans="3:8" x14ac:dyDescent="0.25">
      <c r="C370" s="3" t="s">
        <v>16</v>
      </c>
      <c r="D370" s="5">
        <v>0</v>
      </c>
      <c r="G370" s="3" t="s">
        <v>11</v>
      </c>
      <c r="H370" s="5">
        <v>5</v>
      </c>
    </row>
    <row r="371" spans="3:8" x14ac:dyDescent="0.25">
      <c r="C371" s="4" t="s">
        <v>11</v>
      </c>
      <c r="D371" s="1">
        <v>1</v>
      </c>
      <c r="G371" s="4" t="s">
        <v>11</v>
      </c>
      <c r="H371" s="1">
        <v>3</v>
      </c>
    </row>
    <row r="372" spans="3:8" x14ac:dyDescent="0.25">
      <c r="C372" s="3" t="s">
        <v>11</v>
      </c>
      <c r="D372" s="5">
        <v>4</v>
      </c>
      <c r="G372" s="3" t="s">
        <v>11</v>
      </c>
      <c r="H372" s="5">
        <v>5</v>
      </c>
    </row>
    <row r="373" spans="3:8" x14ac:dyDescent="0.25">
      <c r="C373" s="4" t="s">
        <v>18</v>
      </c>
      <c r="D373" s="1">
        <v>3</v>
      </c>
      <c r="G373" s="4" t="s">
        <v>11</v>
      </c>
      <c r="H373" s="1">
        <v>3</v>
      </c>
    </row>
    <row r="374" spans="3:8" x14ac:dyDescent="0.25">
      <c r="C374" s="3" t="s">
        <v>11</v>
      </c>
      <c r="D374" s="5">
        <v>4</v>
      </c>
      <c r="G374" s="3" t="s">
        <v>13</v>
      </c>
      <c r="H374" s="5">
        <v>2</v>
      </c>
    </row>
    <row r="375" spans="3:8" x14ac:dyDescent="0.25">
      <c r="C375" s="4" t="s">
        <v>10</v>
      </c>
      <c r="D375" s="1">
        <v>5</v>
      </c>
      <c r="G375" s="4" t="s">
        <v>13</v>
      </c>
      <c r="H375" s="1">
        <v>5</v>
      </c>
    </row>
    <row r="376" spans="3:8" x14ac:dyDescent="0.25">
      <c r="C376" s="3" t="s">
        <v>16</v>
      </c>
      <c r="D376" s="5">
        <v>1</v>
      </c>
      <c r="G376" s="3" t="s">
        <v>11</v>
      </c>
      <c r="H376" s="5">
        <v>4</v>
      </c>
    </row>
    <row r="377" spans="3:8" x14ac:dyDescent="0.25">
      <c r="C377" s="4" t="s">
        <v>20</v>
      </c>
      <c r="D377" s="1">
        <v>2</v>
      </c>
      <c r="G377" s="4" t="s">
        <v>11</v>
      </c>
      <c r="H377" s="1">
        <v>4</v>
      </c>
    </row>
    <row r="378" spans="3:8" x14ac:dyDescent="0.25">
      <c r="C378" s="3" t="s">
        <v>14</v>
      </c>
      <c r="D378" s="5">
        <v>0</v>
      </c>
      <c r="G378" s="3" t="s">
        <v>11</v>
      </c>
      <c r="H378" s="5">
        <v>4</v>
      </c>
    </row>
    <row r="379" spans="3:8" x14ac:dyDescent="0.25">
      <c r="C379" s="4" t="s">
        <v>23</v>
      </c>
      <c r="D379" s="1">
        <v>4</v>
      </c>
      <c r="G379" s="4" t="s">
        <v>23</v>
      </c>
      <c r="H379" s="1">
        <v>2</v>
      </c>
    </row>
    <row r="380" spans="3:8" x14ac:dyDescent="0.25">
      <c r="C380" s="3" t="s">
        <v>22</v>
      </c>
      <c r="D380" s="5">
        <v>4</v>
      </c>
      <c r="G380" s="3" t="s">
        <v>14</v>
      </c>
      <c r="H380" s="5">
        <v>0</v>
      </c>
    </row>
    <row r="381" spans="3:8" x14ac:dyDescent="0.25">
      <c r="C381" s="4" t="s">
        <v>11</v>
      </c>
      <c r="D381" s="1">
        <v>3</v>
      </c>
      <c r="G381" s="4" t="s">
        <v>8</v>
      </c>
      <c r="H381" s="1">
        <v>1</v>
      </c>
    </row>
    <row r="382" spans="3:8" x14ac:dyDescent="0.25">
      <c r="C382" s="3" t="s">
        <v>11</v>
      </c>
      <c r="D382" s="5">
        <v>5</v>
      </c>
      <c r="G382" s="3" t="s">
        <v>16</v>
      </c>
      <c r="H382" s="5">
        <v>1</v>
      </c>
    </row>
    <row r="383" spans="3:8" x14ac:dyDescent="0.25">
      <c r="C383" s="4" t="s">
        <v>11</v>
      </c>
      <c r="D383" s="1">
        <v>5</v>
      </c>
      <c r="G383" s="4" t="s">
        <v>10</v>
      </c>
      <c r="H383" s="1">
        <v>1</v>
      </c>
    </row>
    <row r="384" spans="3:8" x14ac:dyDescent="0.25">
      <c r="C384" s="3" t="s">
        <v>11</v>
      </c>
      <c r="D384" s="5">
        <v>4</v>
      </c>
      <c r="G384" s="3" t="s">
        <v>11</v>
      </c>
      <c r="H384" s="5">
        <v>5</v>
      </c>
    </row>
    <row r="385" spans="3:8" x14ac:dyDescent="0.25">
      <c r="C385" s="4" t="s">
        <v>14</v>
      </c>
      <c r="D385" s="1">
        <v>3</v>
      </c>
      <c r="G385" s="4" t="s">
        <v>13</v>
      </c>
      <c r="H385" s="1">
        <v>3</v>
      </c>
    </row>
    <row r="386" spans="3:8" x14ac:dyDescent="0.25">
      <c r="C386" s="3" t="s">
        <v>11</v>
      </c>
      <c r="D386" s="5">
        <v>5</v>
      </c>
      <c r="G386" s="3" t="s">
        <v>11</v>
      </c>
      <c r="H386" s="5">
        <v>3</v>
      </c>
    </row>
    <row r="387" spans="3:8" x14ac:dyDescent="0.25">
      <c r="C387" s="4" t="s">
        <v>11</v>
      </c>
      <c r="D387" s="1">
        <v>3</v>
      </c>
      <c r="G387" s="4" t="s">
        <v>11</v>
      </c>
      <c r="H387" s="1">
        <v>4</v>
      </c>
    </row>
    <row r="388" spans="3:8" x14ac:dyDescent="0.25">
      <c r="C388" s="3" t="s">
        <v>14</v>
      </c>
      <c r="D388" s="5">
        <v>4</v>
      </c>
      <c r="G388" s="3" t="s">
        <v>14</v>
      </c>
      <c r="H388" s="5">
        <v>4</v>
      </c>
    </row>
    <row r="389" spans="3:8" x14ac:dyDescent="0.25">
      <c r="C389" s="4" t="s">
        <v>11</v>
      </c>
      <c r="D389" s="1">
        <v>5</v>
      </c>
      <c r="G389" s="4" t="s">
        <v>18</v>
      </c>
      <c r="H389" s="1">
        <v>1</v>
      </c>
    </row>
    <row r="390" spans="3:8" x14ac:dyDescent="0.25">
      <c r="C390" s="3" t="s">
        <v>23</v>
      </c>
      <c r="D390" s="5">
        <v>1</v>
      </c>
      <c r="G390" s="3" t="s">
        <v>14</v>
      </c>
      <c r="H390" s="5">
        <v>4</v>
      </c>
    </row>
    <row r="391" spans="3:8" x14ac:dyDescent="0.25">
      <c r="C391" s="4" t="s">
        <v>11</v>
      </c>
      <c r="D391" s="1">
        <v>3</v>
      </c>
      <c r="G391" s="4" t="s">
        <v>11</v>
      </c>
      <c r="H391" s="1">
        <v>3</v>
      </c>
    </row>
    <row r="392" spans="3:8" x14ac:dyDescent="0.25">
      <c r="C392" s="3" t="s">
        <v>20</v>
      </c>
      <c r="D392" s="5">
        <v>4</v>
      </c>
      <c r="G392" s="3" t="s">
        <v>11</v>
      </c>
      <c r="H392" s="5">
        <v>4</v>
      </c>
    </row>
    <row r="393" spans="3:8" x14ac:dyDescent="0.25">
      <c r="C393" s="4" t="s">
        <v>11</v>
      </c>
      <c r="D393" s="1">
        <v>4</v>
      </c>
      <c r="G393" s="4" t="s">
        <v>11</v>
      </c>
      <c r="H393" s="1">
        <v>5</v>
      </c>
    </row>
    <row r="394" spans="3:8" x14ac:dyDescent="0.25">
      <c r="C394" s="3" t="s">
        <v>22</v>
      </c>
      <c r="D394" s="5">
        <v>0</v>
      </c>
      <c r="G394" s="3" t="s">
        <v>11</v>
      </c>
      <c r="H394" s="5">
        <v>5</v>
      </c>
    </row>
    <row r="395" spans="3:8" x14ac:dyDescent="0.25">
      <c r="C395" s="4" t="s">
        <v>22</v>
      </c>
      <c r="D395" s="1">
        <v>4</v>
      </c>
      <c r="G395" s="4" t="s">
        <v>11</v>
      </c>
      <c r="H395" s="1">
        <v>4</v>
      </c>
    </row>
    <row r="396" spans="3:8" x14ac:dyDescent="0.25">
      <c r="C396" s="3" t="s">
        <v>11</v>
      </c>
      <c r="D396" s="5">
        <v>5</v>
      </c>
      <c r="G396" s="3" t="s">
        <v>11</v>
      </c>
      <c r="H396" s="5">
        <v>4</v>
      </c>
    </row>
    <row r="397" spans="3:8" x14ac:dyDescent="0.25">
      <c r="C397" s="4" t="s">
        <v>11</v>
      </c>
      <c r="D397" s="1">
        <v>3</v>
      </c>
      <c r="G397" s="4" t="s">
        <v>11</v>
      </c>
      <c r="H397" s="1">
        <v>4</v>
      </c>
    </row>
    <row r="398" spans="3:8" x14ac:dyDescent="0.25">
      <c r="C398" s="3" t="s">
        <v>18</v>
      </c>
      <c r="D398" s="5">
        <v>0</v>
      </c>
      <c r="G398" s="3" t="s">
        <v>11</v>
      </c>
      <c r="H398" s="5">
        <v>4</v>
      </c>
    </row>
    <row r="399" spans="3:8" x14ac:dyDescent="0.25">
      <c r="C399" s="4" t="s">
        <v>16</v>
      </c>
      <c r="D399" s="1">
        <v>5</v>
      </c>
      <c r="G399" s="4" t="s">
        <v>14</v>
      </c>
      <c r="H399" s="1">
        <v>4</v>
      </c>
    </row>
    <row r="400" spans="3:8" x14ac:dyDescent="0.25">
      <c r="C400" s="3" t="s">
        <v>20</v>
      </c>
      <c r="D400" s="5">
        <v>4</v>
      </c>
      <c r="G400" s="3" t="s">
        <v>11</v>
      </c>
      <c r="H400" s="5">
        <v>4</v>
      </c>
    </row>
    <row r="401" spans="3:8" x14ac:dyDescent="0.25">
      <c r="C401" s="4" t="s">
        <v>11</v>
      </c>
      <c r="D401" s="1">
        <v>2</v>
      </c>
      <c r="G401" s="4" t="s">
        <v>11</v>
      </c>
      <c r="H401" s="1">
        <v>5</v>
      </c>
    </row>
    <row r="402" spans="3:8" x14ac:dyDescent="0.25">
      <c r="C402" s="3" t="s">
        <v>10</v>
      </c>
      <c r="D402" s="5">
        <v>2</v>
      </c>
      <c r="G402" s="3" t="s">
        <v>10</v>
      </c>
      <c r="H402" s="5">
        <v>3</v>
      </c>
    </row>
    <row r="403" spans="3:8" x14ac:dyDescent="0.25">
      <c r="C403" s="4" t="s">
        <v>11</v>
      </c>
      <c r="D403" s="1">
        <v>2</v>
      </c>
      <c r="G403" s="4" t="s">
        <v>11</v>
      </c>
      <c r="H403" s="1">
        <v>4</v>
      </c>
    </row>
    <row r="404" spans="3:8" x14ac:dyDescent="0.25">
      <c r="C404" s="3" t="s">
        <v>11</v>
      </c>
      <c r="D404" s="5">
        <v>4</v>
      </c>
      <c r="G404" s="3" t="s">
        <v>11</v>
      </c>
      <c r="H404" s="5">
        <v>5</v>
      </c>
    </row>
    <row r="405" spans="3:8" x14ac:dyDescent="0.25">
      <c r="C405" s="4" t="s">
        <v>22</v>
      </c>
      <c r="D405" s="1">
        <v>1</v>
      </c>
      <c r="G405" s="4" t="s">
        <v>11</v>
      </c>
      <c r="H405" s="1">
        <v>4</v>
      </c>
    </row>
    <row r="406" spans="3:8" x14ac:dyDescent="0.25">
      <c r="C406" s="3" t="s">
        <v>22</v>
      </c>
      <c r="D406" s="5">
        <v>4</v>
      </c>
      <c r="G406" s="3" t="s">
        <v>11</v>
      </c>
      <c r="H406" s="5">
        <v>5</v>
      </c>
    </row>
    <row r="407" spans="3:8" x14ac:dyDescent="0.25">
      <c r="C407" s="4" t="s">
        <v>14</v>
      </c>
      <c r="D407" s="1">
        <v>1</v>
      </c>
      <c r="G407" s="4" t="s">
        <v>11</v>
      </c>
      <c r="H407" s="1">
        <v>3</v>
      </c>
    </row>
    <row r="408" spans="3:8" x14ac:dyDescent="0.25">
      <c r="C408" s="3" t="s">
        <v>13</v>
      </c>
      <c r="D408" s="5">
        <v>4</v>
      </c>
      <c r="G408" s="3" t="s">
        <v>22</v>
      </c>
      <c r="H408" s="5">
        <v>3</v>
      </c>
    </row>
    <row r="409" spans="3:8" x14ac:dyDescent="0.25">
      <c r="C409" s="4" t="s">
        <v>22</v>
      </c>
      <c r="D409" s="1">
        <v>5</v>
      </c>
      <c r="G409" s="4" t="s">
        <v>11</v>
      </c>
      <c r="H409" s="1">
        <v>4</v>
      </c>
    </row>
    <row r="410" spans="3:8" x14ac:dyDescent="0.25">
      <c r="C410" s="3" t="s">
        <v>13</v>
      </c>
      <c r="D410" s="5">
        <v>2</v>
      </c>
      <c r="G410" s="3" t="s">
        <v>11</v>
      </c>
      <c r="H410" s="5">
        <v>4</v>
      </c>
    </row>
    <row r="411" spans="3:8" x14ac:dyDescent="0.25">
      <c r="C411" s="4" t="s">
        <v>14</v>
      </c>
      <c r="D411" s="1">
        <v>1</v>
      </c>
      <c r="G411" s="4" t="s">
        <v>11</v>
      </c>
      <c r="H411" s="1">
        <v>3</v>
      </c>
    </row>
    <row r="412" spans="3:8" x14ac:dyDescent="0.25">
      <c r="C412" s="3" t="s">
        <v>13</v>
      </c>
      <c r="D412" s="5">
        <v>1</v>
      </c>
      <c r="G412" s="3" t="s">
        <v>11</v>
      </c>
      <c r="H412" s="5">
        <v>5</v>
      </c>
    </row>
    <row r="413" spans="3:8" x14ac:dyDescent="0.25">
      <c r="C413" s="4" t="s">
        <v>11</v>
      </c>
      <c r="D413" s="1">
        <v>4</v>
      </c>
      <c r="G413" s="4" t="s">
        <v>11</v>
      </c>
      <c r="H413" s="1">
        <v>4</v>
      </c>
    </row>
    <row r="414" spans="3:8" x14ac:dyDescent="0.25">
      <c r="C414" s="3" t="s">
        <v>23</v>
      </c>
      <c r="D414" s="5">
        <v>3</v>
      </c>
      <c r="G414" s="3" t="s">
        <v>11</v>
      </c>
      <c r="H414" s="5">
        <v>4</v>
      </c>
    </row>
    <row r="415" spans="3:8" x14ac:dyDescent="0.25">
      <c r="C415" s="4" t="s">
        <v>11</v>
      </c>
      <c r="D415" s="1">
        <v>5</v>
      </c>
      <c r="G415" s="4" t="s">
        <v>11</v>
      </c>
      <c r="H415" s="1">
        <v>3</v>
      </c>
    </row>
    <row r="416" spans="3:8" x14ac:dyDescent="0.25">
      <c r="C416" s="3" t="s">
        <v>11</v>
      </c>
      <c r="D416" s="5">
        <v>4</v>
      </c>
      <c r="G416" s="3" t="s">
        <v>11</v>
      </c>
      <c r="H416" s="5">
        <v>3</v>
      </c>
    </row>
    <row r="417" spans="3:8" x14ac:dyDescent="0.25">
      <c r="C417" s="4" t="s">
        <v>11</v>
      </c>
      <c r="D417" s="1">
        <v>6</v>
      </c>
      <c r="G417" s="4" t="s">
        <v>11</v>
      </c>
      <c r="H417" s="1">
        <v>4</v>
      </c>
    </row>
    <row r="418" spans="3:8" x14ac:dyDescent="0.25">
      <c r="C418" s="3" t="s">
        <v>13</v>
      </c>
      <c r="D418" s="5">
        <v>4</v>
      </c>
      <c r="G418" s="3" t="s">
        <v>20</v>
      </c>
      <c r="H418" s="5">
        <v>5</v>
      </c>
    </row>
    <row r="419" spans="3:8" x14ac:dyDescent="0.25">
      <c r="C419" s="4" t="s">
        <v>13</v>
      </c>
      <c r="D419" s="1">
        <v>1</v>
      </c>
      <c r="G419" s="4" t="s">
        <v>11</v>
      </c>
      <c r="H419" s="1">
        <v>3</v>
      </c>
    </row>
    <row r="420" spans="3:8" x14ac:dyDescent="0.25">
      <c r="C420" s="3" t="s">
        <v>16</v>
      </c>
      <c r="D420" s="5">
        <v>0</v>
      </c>
      <c r="G420" s="3" t="s">
        <v>11</v>
      </c>
      <c r="H420" s="5">
        <v>3</v>
      </c>
    </row>
    <row r="421" spans="3:8" x14ac:dyDescent="0.25">
      <c r="C421" s="4" t="s">
        <v>11</v>
      </c>
      <c r="D421" s="1">
        <v>3</v>
      </c>
      <c r="G421" s="4" t="s">
        <v>11</v>
      </c>
      <c r="H421" s="1">
        <v>4</v>
      </c>
    </row>
    <row r="422" spans="3:8" x14ac:dyDescent="0.25">
      <c r="C422" s="3" t="s">
        <v>11</v>
      </c>
      <c r="D422" s="5">
        <v>5</v>
      </c>
      <c r="G422" s="3" t="s">
        <v>11</v>
      </c>
      <c r="H422" s="5">
        <v>5</v>
      </c>
    </row>
    <row r="423" spans="3:8" x14ac:dyDescent="0.25">
      <c r="C423" s="4" t="s">
        <v>16</v>
      </c>
      <c r="D423" s="1">
        <v>1</v>
      </c>
      <c r="G423" s="4" t="s">
        <v>11</v>
      </c>
      <c r="H423" s="1">
        <v>4</v>
      </c>
    </row>
    <row r="424" spans="3:8" x14ac:dyDescent="0.25">
      <c r="C424" s="3" t="s">
        <v>11</v>
      </c>
      <c r="D424" s="5">
        <v>4</v>
      </c>
      <c r="G424" s="3" t="s">
        <v>11</v>
      </c>
      <c r="H424" s="5">
        <v>4</v>
      </c>
    </row>
    <row r="425" spans="3:8" x14ac:dyDescent="0.25">
      <c r="C425" s="4" t="s">
        <v>18</v>
      </c>
      <c r="D425" s="1">
        <v>3</v>
      </c>
      <c r="G425" s="4" t="s">
        <v>11</v>
      </c>
      <c r="H425" s="1">
        <v>3</v>
      </c>
    </row>
    <row r="426" spans="3:8" x14ac:dyDescent="0.25">
      <c r="C426" s="3" t="s">
        <v>13</v>
      </c>
      <c r="D426" s="5">
        <v>4</v>
      </c>
      <c r="G426" s="3" t="s">
        <v>11</v>
      </c>
      <c r="H426" s="5">
        <v>5</v>
      </c>
    </row>
    <row r="427" spans="3:8" x14ac:dyDescent="0.25">
      <c r="C427" s="4" t="s">
        <v>11</v>
      </c>
      <c r="D427" s="1">
        <v>5</v>
      </c>
      <c r="G427" s="4" t="s">
        <v>16</v>
      </c>
      <c r="H427" s="1">
        <v>5</v>
      </c>
    </row>
    <row r="428" spans="3:8" x14ac:dyDescent="0.25">
      <c r="C428" s="3" t="s">
        <v>20</v>
      </c>
      <c r="D428" s="5">
        <v>5</v>
      </c>
      <c r="G428" s="3" t="s">
        <v>11</v>
      </c>
      <c r="H428" s="5">
        <v>5</v>
      </c>
    </row>
    <row r="429" spans="3:8" x14ac:dyDescent="0.25">
      <c r="C429" s="4" t="s">
        <v>11</v>
      </c>
      <c r="D429" s="1">
        <v>4</v>
      </c>
      <c r="G429" s="4" t="s">
        <v>11</v>
      </c>
      <c r="H429" s="1">
        <v>5</v>
      </c>
    </row>
    <row r="430" spans="3:8" x14ac:dyDescent="0.25">
      <c r="C430" s="3" t="s">
        <v>11</v>
      </c>
      <c r="D430" s="5">
        <v>2</v>
      </c>
      <c r="G430" s="3" t="s">
        <v>13</v>
      </c>
      <c r="H430" s="5">
        <v>3</v>
      </c>
    </row>
    <row r="431" spans="3:8" x14ac:dyDescent="0.25">
      <c r="C431" s="4" t="s">
        <v>11</v>
      </c>
      <c r="D431" s="1">
        <v>3</v>
      </c>
      <c r="G431" s="4" t="s">
        <v>22</v>
      </c>
      <c r="H431" s="1">
        <v>1</v>
      </c>
    </row>
    <row r="432" spans="3:8" x14ac:dyDescent="0.25">
      <c r="C432" s="3" t="s">
        <v>22</v>
      </c>
      <c r="D432" s="5">
        <v>0</v>
      </c>
      <c r="G432" s="3" t="s">
        <v>11</v>
      </c>
      <c r="H432" s="5">
        <v>5</v>
      </c>
    </row>
    <row r="433" spans="3:8" x14ac:dyDescent="0.25">
      <c r="C433" s="4" t="s">
        <v>20</v>
      </c>
      <c r="D433" s="1">
        <v>3</v>
      </c>
      <c r="G433" s="4" t="s">
        <v>11</v>
      </c>
      <c r="H433" s="1">
        <v>3</v>
      </c>
    </row>
    <row r="434" spans="3:8" x14ac:dyDescent="0.25">
      <c r="C434" s="3" t="s">
        <v>13</v>
      </c>
      <c r="D434" s="5">
        <v>2</v>
      </c>
      <c r="G434" s="3" t="s">
        <v>11</v>
      </c>
      <c r="H434" s="5">
        <v>5</v>
      </c>
    </row>
    <row r="435" spans="3:8" x14ac:dyDescent="0.25">
      <c r="C435" s="4" t="s">
        <v>11</v>
      </c>
      <c r="D435" s="1">
        <v>3</v>
      </c>
      <c r="G435" s="4" t="s">
        <v>22</v>
      </c>
      <c r="H435" s="1">
        <v>3</v>
      </c>
    </row>
    <row r="436" spans="3:8" x14ac:dyDescent="0.25">
      <c r="C436" s="3" t="s">
        <v>11</v>
      </c>
      <c r="D436" s="5">
        <v>1</v>
      </c>
      <c r="G436" s="3" t="s">
        <v>11</v>
      </c>
      <c r="H436" s="5">
        <v>5</v>
      </c>
    </row>
    <row r="437" spans="3:8" x14ac:dyDescent="0.25">
      <c r="C437" s="4" t="s">
        <v>13</v>
      </c>
      <c r="D437" s="1">
        <v>5</v>
      </c>
      <c r="G437" s="4" t="s">
        <v>11</v>
      </c>
      <c r="H437" s="1">
        <v>4</v>
      </c>
    </row>
    <row r="438" spans="3:8" x14ac:dyDescent="0.25">
      <c r="C438" s="3" t="s">
        <v>11</v>
      </c>
      <c r="D438" s="5">
        <v>4</v>
      </c>
      <c r="G438" s="3" t="s">
        <v>11</v>
      </c>
      <c r="H438" s="5">
        <v>5</v>
      </c>
    </row>
    <row r="439" spans="3:8" x14ac:dyDescent="0.25">
      <c r="C439" s="4" t="s">
        <v>22</v>
      </c>
      <c r="D439" s="1">
        <v>1</v>
      </c>
      <c r="G439" s="4" t="s">
        <v>11</v>
      </c>
      <c r="H439" s="1">
        <v>4</v>
      </c>
    </row>
    <row r="440" spans="3:8" x14ac:dyDescent="0.25">
      <c r="C440" s="3" t="s">
        <v>18</v>
      </c>
      <c r="D440" s="5">
        <v>2</v>
      </c>
      <c r="G440" s="3" t="s">
        <v>13</v>
      </c>
      <c r="H440" s="5">
        <v>5</v>
      </c>
    </row>
    <row r="441" spans="3:8" x14ac:dyDescent="0.25">
      <c r="C441" s="4" t="s">
        <v>16</v>
      </c>
      <c r="D441" s="1">
        <v>2</v>
      </c>
      <c r="G441" s="4" t="s">
        <v>11</v>
      </c>
      <c r="H441" s="1">
        <v>5</v>
      </c>
    </row>
    <row r="442" spans="3:8" x14ac:dyDescent="0.25">
      <c r="C442" s="3" t="s">
        <v>11</v>
      </c>
      <c r="D442" s="5">
        <v>3</v>
      </c>
      <c r="G442" s="3" t="s">
        <v>11</v>
      </c>
      <c r="H442" s="5">
        <v>4</v>
      </c>
    </row>
    <row r="443" spans="3:8" x14ac:dyDescent="0.25">
      <c r="C443" s="4" t="s">
        <v>23</v>
      </c>
      <c r="D443" s="1">
        <v>1</v>
      </c>
      <c r="G443" s="4" t="s">
        <v>16</v>
      </c>
      <c r="H443" s="1">
        <v>0</v>
      </c>
    </row>
    <row r="444" spans="3:8" x14ac:dyDescent="0.25">
      <c r="C444" s="3" t="s">
        <v>11</v>
      </c>
      <c r="D444" s="5">
        <v>3</v>
      </c>
      <c r="G444" s="3" t="s">
        <v>10</v>
      </c>
      <c r="H444" s="5">
        <v>0</v>
      </c>
    </row>
    <row r="445" spans="3:8" x14ac:dyDescent="0.25">
      <c r="C445" s="4" t="s">
        <v>22</v>
      </c>
      <c r="D445" s="1">
        <v>0</v>
      </c>
      <c r="G445" s="4" t="s">
        <v>22</v>
      </c>
      <c r="H445" s="1">
        <v>1</v>
      </c>
    </row>
    <row r="446" spans="3:8" x14ac:dyDescent="0.25">
      <c r="C446" s="3" t="s">
        <v>10</v>
      </c>
      <c r="D446" s="5">
        <v>0</v>
      </c>
      <c r="G446" s="3" t="s">
        <v>11</v>
      </c>
      <c r="H446" s="5">
        <v>3</v>
      </c>
    </row>
    <row r="447" spans="3:8" x14ac:dyDescent="0.25">
      <c r="C447" s="4" t="s">
        <v>22</v>
      </c>
      <c r="D447" s="1">
        <v>3</v>
      </c>
      <c r="G447" s="4" t="s">
        <v>16</v>
      </c>
      <c r="H447" s="1">
        <v>3</v>
      </c>
    </row>
    <row r="448" spans="3:8" x14ac:dyDescent="0.25">
      <c r="C448" s="3" t="s">
        <v>11</v>
      </c>
      <c r="D448" s="5">
        <v>3</v>
      </c>
      <c r="G448" s="3" t="s">
        <v>11</v>
      </c>
      <c r="H448" s="5">
        <v>3</v>
      </c>
    </row>
    <row r="449" spans="3:8" x14ac:dyDescent="0.25">
      <c r="C449" s="4" t="s">
        <v>20</v>
      </c>
      <c r="D449" s="1">
        <v>5</v>
      </c>
      <c r="G449" s="4" t="s">
        <v>10</v>
      </c>
      <c r="H449" s="1">
        <v>2</v>
      </c>
    </row>
    <row r="450" spans="3:8" x14ac:dyDescent="0.25">
      <c r="C450" s="3" t="s">
        <v>11</v>
      </c>
      <c r="D450" s="5">
        <v>4</v>
      </c>
      <c r="G450" s="3" t="s">
        <v>11</v>
      </c>
      <c r="H450" s="5">
        <v>5</v>
      </c>
    </row>
    <row r="451" spans="3:8" x14ac:dyDescent="0.25">
      <c r="C451" s="4" t="s">
        <v>22</v>
      </c>
      <c r="D451" s="1">
        <v>0</v>
      </c>
      <c r="G451" s="4" t="s">
        <v>11</v>
      </c>
      <c r="H451" s="1">
        <v>3</v>
      </c>
    </row>
    <row r="452" spans="3:8" x14ac:dyDescent="0.25">
      <c r="C452" s="3" t="s">
        <v>23</v>
      </c>
      <c r="D452" s="5">
        <v>3</v>
      </c>
      <c r="G452" s="3" t="s">
        <v>11</v>
      </c>
      <c r="H452" s="5">
        <v>3</v>
      </c>
    </row>
    <row r="453" spans="3:8" x14ac:dyDescent="0.25">
      <c r="C453" s="4" t="s">
        <v>22</v>
      </c>
      <c r="D453" s="1">
        <v>2</v>
      </c>
      <c r="G453" s="4" t="s">
        <v>11</v>
      </c>
      <c r="H453" s="1">
        <v>3</v>
      </c>
    </row>
    <row r="454" spans="3:8" x14ac:dyDescent="0.25">
      <c r="C454" s="3" t="s">
        <v>18</v>
      </c>
      <c r="D454" s="5">
        <v>2</v>
      </c>
      <c r="G454" s="3" t="s">
        <v>22</v>
      </c>
      <c r="H454" s="5">
        <v>4</v>
      </c>
    </row>
    <row r="455" spans="3:8" x14ac:dyDescent="0.25">
      <c r="C455" s="4" t="s">
        <v>11</v>
      </c>
      <c r="D455" s="1">
        <v>5</v>
      </c>
      <c r="G455" s="4" t="s">
        <v>11</v>
      </c>
      <c r="H455" s="1">
        <v>5</v>
      </c>
    </row>
    <row r="456" spans="3:8" x14ac:dyDescent="0.25">
      <c r="C456" s="3" t="s">
        <v>14</v>
      </c>
      <c r="D456" s="5">
        <v>0</v>
      </c>
      <c r="G456" s="3" t="s">
        <v>11</v>
      </c>
      <c r="H456" s="5">
        <v>3</v>
      </c>
    </row>
    <row r="457" spans="3:8" x14ac:dyDescent="0.25">
      <c r="C457" s="4" t="s">
        <v>11</v>
      </c>
      <c r="D457" s="1">
        <v>3</v>
      </c>
      <c r="G457" s="4" t="s">
        <v>11</v>
      </c>
      <c r="H457" s="1">
        <v>3</v>
      </c>
    </row>
    <row r="458" spans="3:8" x14ac:dyDescent="0.25">
      <c r="C458" s="3" t="s">
        <v>14</v>
      </c>
      <c r="D458" s="5">
        <v>3</v>
      </c>
      <c r="G458" s="3" t="s">
        <v>11</v>
      </c>
      <c r="H458" s="5">
        <v>5</v>
      </c>
    </row>
    <row r="459" spans="3:8" x14ac:dyDescent="0.25">
      <c r="C459" s="4" t="s">
        <v>16</v>
      </c>
      <c r="D459" s="1">
        <v>3</v>
      </c>
      <c r="G459" s="4" t="s">
        <v>22</v>
      </c>
      <c r="H459" s="1">
        <v>4</v>
      </c>
    </row>
    <row r="460" spans="3:8" x14ac:dyDescent="0.25">
      <c r="C460" s="3" t="s">
        <v>20</v>
      </c>
      <c r="D460" s="5">
        <v>4</v>
      </c>
      <c r="G460" s="3" t="s">
        <v>16</v>
      </c>
      <c r="H460" s="5">
        <v>5</v>
      </c>
    </row>
    <row r="461" spans="3:8" x14ac:dyDescent="0.25">
      <c r="C461" s="4" t="s">
        <v>14</v>
      </c>
      <c r="D461" s="1">
        <v>4</v>
      </c>
      <c r="G461" s="4" t="s">
        <v>10</v>
      </c>
      <c r="H461" s="1">
        <v>0</v>
      </c>
    </row>
    <row r="462" spans="3:8" x14ac:dyDescent="0.25">
      <c r="C462" s="3" t="s">
        <v>23</v>
      </c>
      <c r="D462" s="5">
        <v>4</v>
      </c>
      <c r="G462" s="3" t="s">
        <v>11</v>
      </c>
      <c r="H462" s="5">
        <v>4</v>
      </c>
    </row>
    <row r="463" spans="3:8" x14ac:dyDescent="0.25">
      <c r="C463" s="4" t="s">
        <v>23</v>
      </c>
      <c r="D463" s="1">
        <v>3</v>
      </c>
      <c r="G463" s="4" t="s">
        <v>11</v>
      </c>
      <c r="H463" s="1">
        <v>5</v>
      </c>
    </row>
    <row r="464" spans="3:8" x14ac:dyDescent="0.25">
      <c r="C464" s="3" t="s">
        <v>22</v>
      </c>
      <c r="D464" s="5">
        <v>4</v>
      </c>
      <c r="G464" s="3" t="s">
        <v>22</v>
      </c>
      <c r="H464" s="5">
        <v>0</v>
      </c>
    </row>
    <row r="465" spans="3:8" x14ac:dyDescent="0.25">
      <c r="C465" s="4" t="s">
        <v>11</v>
      </c>
      <c r="D465" s="1">
        <v>5</v>
      </c>
      <c r="G465" s="4" t="s">
        <v>11</v>
      </c>
      <c r="H465" s="1">
        <v>5</v>
      </c>
    </row>
    <row r="466" spans="3:8" x14ac:dyDescent="0.25">
      <c r="C466" s="3" t="s">
        <v>11</v>
      </c>
      <c r="D466" s="5">
        <v>5</v>
      </c>
      <c r="G466" s="3" t="s">
        <v>11</v>
      </c>
      <c r="H466" s="5">
        <v>3</v>
      </c>
    </row>
    <row r="467" spans="3:8" x14ac:dyDescent="0.25">
      <c r="C467" s="4" t="s">
        <v>22</v>
      </c>
      <c r="D467" s="1">
        <v>1</v>
      </c>
      <c r="G467" s="4" t="s">
        <v>11</v>
      </c>
      <c r="H467" s="1">
        <v>3</v>
      </c>
    </row>
    <row r="468" spans="3:8" x14ac:dyDescent="0.25">
      <c r="C468" s="3" t="s">
        <v>22</v>
      </c>
      <c r="D468" s="5">
        <v>2</v>
      </c>
      <c r="G468" s="3" t="s">
        <v>11</v>
      </c>
      <c r="H468" s="5">
        <v>5</v>
      </c>
    </row>
    <row r="469" spans="3:8" x14ac:dyDescent="0.25">
      <c r="C469" s="4" t="s">
        <v>18</v>
      </c>
      <c r="D469" s="1">
        <v>1</v>
      </c>
      <c r="G469" s="4" t="s">
        <v>11</v>
      </c>
      <c r="H469" s="1">
        <v>3</v>
      </c>
    </row>
    <row r="470" spans="3:8" x14ac:dyDescent="0.25">
      <c r="C470" s="3" t="s">
        <v>11</v>
      </c>
      <c r="D470" s="5">
        <v>3</v>
      </c>
      <c r="G470" s="3" t="s">
        <v>11</v>
      </c>
      <c r="H470" s="5">
        <v>4</v>
      </c>
    </row>
    <row r="471" spans="3:8" x14ac:dyDescent="0.25">
      <c r="C471" s="4" t="s">
        <v>22</v>
      </c>
      <c r="D471" s="1">
        <v>1</v>
      </c>
      <c r="G471" s="4" t="s">
        <v>11</v>
      </c>
      <c r="H471" s="1">
        <v>5</v>
      </c>
    </row>
    <row r="472" spans="3:8" x14ac:dyDescent="0.25">
      <c r="C472" s="3" t="s">
        <v>18</v>
      </c>
      <c r="D472" s="5">
        <v>5</v>
      </c>
      <c r="G472" s="3" t="s">
        <v>22</v>
      </c>
      <c r="H472" s="5">
        <v>2</v>
      </c>
    </row>
    <row r="473" spans="3:8" x14ac:dyDescent="0.25">
      <c r="C473" s="4" t="s">
        <v>16</v>
      </c>
      <c r="D473" s="1">
        <v>3</v>
      </c>
      <c r="G473" s="4" t="s">
        <v>14</v>
      </c>
      <c r="H473" s="1">
        <v>1</v>
      </c>
    </row>
    <row r="474" spans="3:8" x14ac:dyDescent="0.25">
      <c r="C474" s="3" t="s">
        <v>18</v>
      </c>
      <c r="D474" s="5">
        <v>2</v>
      </c>
      <c r="G474" s="3" t="s">
        <v>11</v>
      </c>
      <c r="H474" s="5">
        <v>4</v>
      </c>
    </row>
    <row r="475" spans="3:8" x14ac:dyDescent="0.25">
      <c r="C475" s="4" t="s">
        <v>18</v>
      </c>
      <c r="D475" s="1">
        <v>3</v>
      </c>
      <c r="G475" s="4" t="s">
        <v>14</v>
      </c>
      <c r="H475" s="1">
        <v>5</v>
      </c>
    </row>
    <row r="476" spans="3:8" x14ac:dyDescent="0.25">
      <c r="C476" s="3" t="s">
        <v>14</v>
      </c>
      <c r="D476" s="5">
        <v>5</v>
      </c>
      <c r="G476" s="3" t="s">
        <v>11</v>
      </c>
      <c r="H476" s="5">
        <v>5</v>
      </c>
    </row>
    <row r="477" spans="3:8" x14ac:dyDescent="0.25">
      <c r="C477" s="4" t="s">
        <v>23</v>
      </c>
      <c r="D477" s="1">
        <v>0</v>
      </c>
      <c r="G477" s="4" t="s">
        <v>18</v>
      </c>
      <c r="H477" s="1">
        <v>1</v>
      </c>
    </row>
    <row r="478" spans="3:8" x14ac:dyDescent="0.25">
      <c r="C478" s="3" t="s">
        <v>18</v>
      </c>
      <c r="D478" s="5">
        <v>1</v>
      </c>
      <c r="G478" s="3" t="s">
        <v>8</v>
      </c>
      <c r="H478" s="5">
        <v>1</v>
      </c>
    </row>
    <row r="479" spans="3:8" x14ac:dyDescent="0.25">
      <c r="C479" s="4" t="s">
        <v>20</v>
      </c>
      <c r="D479" s="1">
        <v>3</v>
      </c>
      <c r="G479" s="4" t="s">
        <v>11</v>
      </c>
      <c r="H479" s="1">
        <v>5</v>
      </c>
    </row>
    <row r="480" spans="3:8" x14ac:dyDescent="0.25">
      <c r="C480" s="3" t="s">
        <v>16</v>
      </c>
      <c r="D480" s="5">
        <v>1</v>
      </c>
      <c r="G480" s="3" t="s">
        <v>11</v>
      </c>
      <c r="H480" s="5">
        <v>5</v>
      </c>
    </row>
    <row r="481" spans="3:8" x14ac:dyDescent="0.25">
      <c r="C481" s="4" t="s">
        <v>14</v>
      </c>
      <c r="D481" s="1">
        <v>0</v>
      </c>
      <c r="G481" s="4" t="s">
        <v>11</v>
      </c>
      <c r="H481" s="1">
        <v>3</v>
      </c>
    </row>
    <row r="482" spans="3:8" x14ac:dyDescent="0.25">
      <c r="C482" s="3" t="s">
        <v>16</v>
      </c>
      <c r="D482" s="5">
        <v>1</v>
      </c>
      <c r="G482" s="3" t="s">
        <v>22</v>
      </c>
      <c r="H482" s="5">
        <v>5</v>
      </c>
    </row>
    <row r="483" spans="3:8" x14ac:dyDescent="0.25">
      <c r="C483" s="4" t="s">
        <v>11</v>
      </c>
      <c r="D483" s="1">
        <v>5</v>
      </c>
      <c r="G483" s="4" t="s">
        <v>11</v>
      </c>
      <c r="H483" s="1">
        <v>5</v>
      </c>
    </row>
    <row r="484" spans="3:8" x14ac:dyDescent="0.25">
      <c r="C484" s="3" t="s">
        <v>11</v>
      </c>
      <c r="D484" s="5">
        <v>5</v>
      </c>
      <c r="G484" s="3" t="s">
        <v>11</v>
      </c>
      <c r="H484" s="5">
        <v>4</v>
      </c>
    </row>
    <row r="485" spans="3:8" x14ac:dyDescent="0.25">
      <c r="C485" s="4" t="s">
        <v>20</v>
      </c>
      <c r="D485" s="1">
        <v>3</v>
      </c>
      <c r="G485" s="4" t="s">
        <v>11</v>
      </c>
      <c r="H485" s="1">
        <v>5</v>
      </c>
    </row>
    <row r="486" spans="3:8" x14ac:dyDescent="0.25">
      <c r="C486" s="3" t="s">
        <v>20</v>
      </c>
      <c r="D486" s="5">
        <v>2</v>
      </c>
      <c r="G486" s="3" t="s">
        <v>11</v>
      </c>
      <c r="H486" s="5">
        <v>4</v>
      </c>
    </row>
    <row r="487" spans="3:8" x14ac:dyDescent="0.25">
      <c r="C487" s="4" t="s">
        <v>11</v>
      </c>
      <c r="D487" s="1">
        <v>5</v>
      </c>
      <c r="G487" s="4" t="s">
        <v>11</v>
      </c>
      <c r="H487" s="1">
        <v>3</v>
      </c>
    </row>
    <row r="488" spans="3:8" x14ac:dyDescent="0.25">
      <c r="C488" s="3" t="s">
        <v>10</v>
      </c>
      <c r="D488" s="5">
        <v>2</v>
      </c>
      <c r="G488" s="3" t="s">
        <v>11</v>
      </c>
      <c r="H488" s="5">
        <v>3</v>
      </c>
    </row>
    <row r="489" spans="3:8" x14ac:dyDescent="0.25">
      <c r="C489" s="4" t="s">
        <v>11</v>
      </c>
      <c r="D489" s="1">
        <v>3</v>
      </c>
      <c r="G489" s="4" t="s">
        <v>11</v>
      </c>
      <c r="H489" s="1">
        <v>4</v>
      </c>
    </row>
    <row r="490" spans="3:8" x14ac:dyDescent="0.25">
      <c r="C490" s="3" t="s">
        <v>18</v>
      </c>
      <c r="D490" s="5">
        <v>4</v>
      </c>
      <c r="G490" s="3" t="s">
        <v>11</v>
      </c>
      <c r="H490" s="5">
        <v>5</v>
      </c>
    </row>
    <row r="491" spans="3:8" x14ac:dyDescent="0.25">
      <c r="C491" s="4" t="s">
        <v>11</v>
      </c>
      <c r="D491" s="1">
        <v>2</v>
      </c>
      <c r="G491" s="4" t="s">
        <v>11</v>
      </c>
      <c r="H491" s="1">
        <v>4</v>
      </c>
    </row>
    <row r="492" spans="3:8" x14ac:dyDescent="0.25">
      <c r="C492" s="3" t="s">
        <v>11</v>
      </c>
      <c r="D492" s="5">
        <v>2</v>
      </c>
      <c r="G492" s="3" t="s">
        <v>11</v>
      </c>
      <c r="H492" s="5">
        <v>5</v>
      </c>
    </row>
    <row r="493" spans="3:8" x14ac:dyDescent="0.25">
      <c r="C493" s="4" t="s">
        <v>20</v>
      </c>
      <c r="D493" s="1">
        <v>3</v>
      </c>
      <c r="G493" s="4" t="s">
        <v>11</v>
      </c>
      <c r="H493" s="1">
        <v>4</v>
      </c>
    </row>
    <row r="494" spans="3:8" x14ac:dyDescent="0.25">
      <c r="C494" s="3" t="s">
        <v>11</v>
      </c>
      <c r="D494" s="5">
        <v>4</v>
      </c>
      <c r="G494" s="3" t="s">
        <v>11</v>
      </c>
      <c r="H494" s="5">
        <v>4</v>
      </c>
    </row>
    <row r="495" spans="3:8" x14ac:dyDescent="0.25">
      <c r="C495" s="4" t="s">
        <v>8</v>
      </c>
      <c r="D495" s="1">
        <v>3</v>
      </c>
      <c r="G495" s="4" t="s">
        <v>14</v>
      </c>
      <c r="H495" s="1">
        <v>3</v>
      </c>
    </row>
    <row r="496" spans="3:8" x14ac:dyDescent="0.25">
      <c r="C496" s="3" t="s">
        <v>11</v>
      </c>
      <c r="D496" s="5">
        <v>5</v>
      </c>
      <c r="G496" s="3" t="s">
        <v>11</v>
      </c>
      <c r="H496" s="5">
        <v>3</v>
      </c>
    </row>
    <row r="497" spans="3:8" x14ac:dyDescent="0.25">
      <c r="C497" s="4" t="s">
        <v>18</v>
      </c>
      <c r="D497" s="1">
        <v>5</v>
      </c>
      <c r="G497" s="4" t="s">
        <v>11</v>
      </c>
      <c r="H497" s="1">
        <v>3</v>
      </c>
    </row>
    <row r="498" spans="3:8" x14ac:dyDescent="0.25">
      <c r="C498" s="3" t="s">
        <v>11</v>
      </c>
      <c r="D498" s="5">
        <v>5</v>
      </c>
      <c r="G498" s="3" t="s">
        <v>11</v>
      </c>
      <c r="H498" s="5">
        <v>4</v>
      </c>
    </row>
    <row r="499" spans="3:8" x14ac:dyDescent="0.25">
      <c r="C499" s="4" t="s">
        <v>11</v>
      </c>
      <c r="D499" s="1">
        <v>5</v>
      </c>
      <c r="G499" s="4" t="s">
        <v>11</v>
      </c>
      <c r="H499" s="1">
        <v>4</v>
      </c>
    </row>
    <row r="500" spans="3:8" x14ac:dyDescent="0.25">
      <c r="C500" s="3" t="s">
        <v>20</v>
      </c>
      <c r="D500" s="5">
        <v>2</v>
      </c>
      <c r="G500" s="3" t="s">
        <v>11</v>
      </c>
      <c r="H500" s="5">
        <v>3</v>
      </c>
    </row>
    <row r="501" spans="3:8" x14ac:dyDescent="0.25">
      <c r="C501" s="4" t="s">
        <v>14</v>
      </c>
      <c r="D501" s="1">
        <v>1</v>
      </c>
      <c r="G501" s="4" t="s">
        <v>11</v>
      </c>
      <c r="H501" s="1">
        <v>5</v>
      </c>
    </row>
    <row r="502" spans="3:8" x14ac:dyDescent="0.25">
      <c r="C502" s="3" t="s">
        <v>22</v>
      </c>
      <c r="D502" s="5">
        <v>5</v>
      </c>
      <c r="G502" s="3" t="s">
        <v>11</v>
      </c>
      <c r="H502" s="5">
        <v>4</v>
      </c>
    </row>
    <row r="503" spans="3:8" x14ac:dyDescent="0.25">
      <c r="C503" s="4" t="s">
        <v>11</v>
      </c>
      <c r="D503" s="1">
        <v>4</v>
      </c>
      <c r="G503" s="4" t="s">
        <v>23</v>
      </c>
      <c r="H503" s="1">
        <v>4</v>
      </c>
    </row>
    <row r="504" spans="3:8" x14ac:dyDescent="0.25">
      <c r="G504" s="3" t="s">
        <v>11</v>
      </c>
      <c r="H504" s="5">
        <v>3</v>
      </c>
    </row>
    <row r="505" spans="3:8" x14ac:dyDescent="0.25">
      <c r="G505" s="4" t="s">
        <v>11</v>
      </c>
      <c r="H505" s="1">
        <v>5</v>
      </c>
    </row>
    <row r="506" spans="3:8" x14ac:dyDescent="0.25">
      <c r="G506" s="3" t="s">
        <v>11</v>
      </c>
      <c r="H506" s="5">
        <v>5</v>
      </c>
    </row>
    <row r="507" spans="3:8" x14ac:dyDescent="0.25">
      <c r="G507" s="4" t="s">
        <v>11</v>
      </c>
      <c r="H507" s="1">
        <v>4</v>
      </c>
    </row>
    <row r="508" spans="3:8" x14ac:dyDescent="0.25">
      <c r="G508" s="3" t="s">
        <v>11</v>
      </c>
      <c r="H508" s="5">
        <v>5</v>
      </c>
    </row>
    <row r="509" spans="3:8" x14ac:dyDescent="0.25">
      <c r="G509" s="4" t="s">
        <v>14</v>
      </c>
      <c r="H509" s="1">
        <v>4</v>
      </c>
    </row>
    <row r="510" spans="3:8" x14ac:dyDescent="0.25">
      <c r="G510" s="3" t="s">
        <v>11</v>
      </c>
      <c r="H510" s="5">
        <v>5</v>
      </c>
    </row>
    <row r="511" spans="3:8" x14ac:dyDescent="0.25">
      <c r="G511" s="4" t="s">
        <v>23</v>
      </c>
      <c r="H511" s="1">
        <v>1</v>
      </c>
    </row>
    <row r="512" spans="3:8" x14ac:dyDescent="0.25">
      <c r="G512" s="3" t="s">
        <v>11</v>
      </c>
      <c r="H512" s="5">
        <v>3</v>
      </c>
    </row>
    <row r="513" spans="7:8" x14ac:dyDescent="0.25">
      <c r="G513" s="4" t="s">
        <v>20</v>
      </c>
      <c r="H513" s="1">
        <v>4</v>
      </c>
    </row>
    <row r="514" spans="7:8" x14ac:dyDescent="0.25">
      <c r="G514" s="3" t="s">
        <v>11</v>
      </c>
      <c r="H514" s="5">
        <v>4</v>
      </c>
    </row>
    <row r="515" spans="7:8" x14ac:dyDescent="0.25">
      <c r="G515" s="4" t="s">
        <v>16</v>
      </c>
      <c r="H515" s="1">
        <v>5</v>
      </c>
    </row>
    <row r="516" spans="7:8" x14ac:dyDescent="0.25">
      <c r="G516" s="3" t="s">
        <v>22</v>
      </c>
      <c r="H516" s="5">
        <v>5</v>
      </c>
    </row>
    <row r="517" spans="7:8" x14ac:dyDescent="0.25">
      <c r="G517" s="4" t="s">
        <v>23</v>
      </c>
      <c r="H517" s="1">
        <v>3</v>
      </c>
    </row>
    <row r="518" spans="7:8" x14ac:dyDescent="0.25">
      <c r="G518" s="3" t="s">
        <v>11</v>
      </c>
      <c r="H518" s="5">
        <v>5</v>
      </c>
    </row>
    <row r="519" spans="7:8" x14ac:dyDescent="0.25">
      <c r="G519" s="4" t="s">
        <v>13</v>
      </c>
      <c r="H519" s="1">
        <v>4</v>
      </c>
    </row>
    <row r="520" spans="7:8" x14ac:dyDescent="0.25">
      <c r="G520" s="3" t="s">
        <v>11</v>
      </c>
      <c r="H520" s="5">
        <v>3</v>
      </c>
    </row>
    <row r="521" spans="7:8" x14ac:dyDescent="0.25">
      <c r="G521" s="4" t="s">
        <v>11</v>
      </c>
      <c r="H521" s="1">
        <v>5</v>
      </c>
    </row>
    <row r="522" spans="7:8" x14ac:dyDescent="0.25">
      <c r="G522" s="3" t="s">
        <v>11</v>
      </c>
      <c r="H522" s="5">
        <v>4</v>
      </c>
    </row>
    <row r="523" spans="7:8" x14ac:dyDescent="0.25">
      <c r="G523" s="4" t="s">
        <v>11</v>
      </c>
      <c r="H523" s="1">
        <v>5</v>
      </c>
    </row>
    <row r="524" spans="7:8" x14ac:dyDescent="0.25">
      <c r="G524" s="3" t="s">
        <v>20</v>
      </c>
      <c r="H524" s="5">
        <v>5</v>
      </c>
    </row>
    <row r="525" spans="7:8" x14ac:dyDescent="0.25">
      <c r="G525" s="4" t="s">
        <v>11</v>
      </c>
      <c r="H525" s="1">
        <v>4</v>
      </c>
    </row>
    <row r="526" spans="7:8" x14ac:dyDescent="0.25">
      <c r="G526" s="3" t="s">
        <v>11</v>
      </c>
      <c r="H526" s="5">
        <v>3</v>
      </c>
    </row>
    <row r="527" spans="7:8" x14ac:dyDescent="0.25">
      <c r="G527" s="4" t="s">
        <v>20</v>
      </c>
      <c r="H527" s="1">
        <v>3</v>
      </c>
    </row>
    <row r="528" spans="7:8" x14ac:dyDescent="0.25">
      <c r="G528" s="3" t="s">
        <v>13</v>
      </c>
      <c r="H528" s="5">
        <v>2</v>
      </c>
    </row>
    <row r="529" spans="7:8" x14ac:dyDescent="0.25">
      <c r="G529" s="4" t="s">
        <v>11</v>
      </c>
      <c r="H529" s="1">
        <v>3</v>
      </c>
    </row>
    <row r="530" spans="7:8" x14ac:dyDescent="0.25">
      <c r="G530" s="3" t="s">
        <v>11</v>
      </c>
      <c r="H530" s="5">
        <v>4</v>
      </c>
    </row>
    <row r="531" spans="7:8" x14ac:dyDescent="0.25">
      <c r="G531" s="4" t="s">
        <v>11</v>
      </c>
      <c r="H531" s="1">
        <v>3</v>
      </c>
    </row>
    <row r="532" spans="7:8" x14ac:dyDescent="0.25">
      <c r="G532" s="3" t="s">
        <v>11</v>
      </c>
      <c r="H532" s="5">
        <v>3</v>
      </c>
    </row>
    <row r="533" spans="7:8" x14ac:dyDescent="0.25">
      <c r="G533" s="4" t="s">
        <v>22</v>
      </c>
      <c r="H533" s="1">
        <v>0</v>
      </c>
    </row>
    <row r="534" spans="7:8" x14ac:dyDescent="0.25">
      <c r="G534" s="3" t="s">
        <v>22</v>
      </c>
      <c r="H534" s="5">
        <v>3</v>
      </c>
    </row>
    <row r="535" spans="7:8" x14ac:dyDescent="0.25">
      <c r="G535" s="4" t="s">
        <v>11</v>
      </c>
      <c r="H535" s="1">
        <v>4</v>
      </c>
    </row>
    <row r="536" spans="7:8" x14ac:dyDescent="0.25">
      <c r="G536" s="3" t="s">
        <v>11</v>
      </c>
      <c r="H536" s="5">
        <v>5</v>
      </c>
    </row>
    <row r="537" spans="7:8" x14ac:dyDescent="0.25">
      <c r="G537" s="4" t="s">
        <v>11</v>
      </c>
      <c r="H537" s="1">
        <v>3</v>
      </c>
    </row>
    <row r="538" spans="7:8" x14ac:dyDescent="0.25">
      <c r="G538" s="3" t="s">
        <v>23</v>
      </c>
      <c r="H538" s="5">
        <v>3</v>
      </c>
    </row>
    <row r="539" spans="7:8" x14ac:dyDescent="0.25">
      <c r="G539" s="4" t="s">
        <v>22</v>
      </c>
      <c r="H539" s="1">
        <v>4</v>
      </c>
    </row>
    <row r="540" spans="7:8" x14ac:dyDescent="0.25">
      <c r="G540" s="3" t="s">
        <v>11</v>
      </c>
      <c r="H540" s="5">
        <v>5</v>
      </c>
    </row>
    <row r="541" spans="7:8" x14ac:dyDescent="0.25">
      <c r="G541" s="4" t="s">
        <v>11</v>
      </c>
      <c r="H541" s="1">
        <v>5</v>
      </c>
    </row>
    <row r="542" spans="7:8" x14ac:dyDescent="0.25">
      <c r="G542" s="3" t="s">
        <v>11</v>
      </c>
      <c r="H542" s="5">
        <v>3</v>
      </c>
    </row>
    <row r="543" spans="7:8" x14ac:dyDescent="0.25">
      <c r="G543" s="4" t="s">
        <v>22</v>
      </c>
      <c r="H543" s="1">
        <v>1</v>
      </c>
    </row>
    <row r="544" spans="7:8" x14ac:dyDescent="0.25">
      <c r="G544" s="3" t="s">
        <v>16</v>
      </c>
      <c r="H544" s="5">
        <v>3</v>
      </c>
    </row>
    <row r="545" spans="7:8" x14ac:dyDescent="0.25">
      <c r="G545" s="4" t="s">
        <v>23</v>
      </c>
      <c r="H545" s="1">
        <v>0</v>
      </c>
    </row>
    <row r="546" spans="7:8" x14ac:dyDescent="0.25">
      <c r="G546" s="3" t="s">
        <v>16</v>
      </c>
      <c r="H546" s="5">
        <v>1</v>
      </c>
    </row>
    <row r="547" spans="7:8" x14ac:dyDescent="0.25">
      <c r="G547" s="4" t="s">
        <v>16</v>
      </c>
      <c r="H547" s="1">
        <v>1</v>
      </c>
    </row>
    <row r="548" spans="7:8" x14ac:dyDescent="0.25">
      <c r="G548" s="3" t="s">
        <v>11</v>
      </c>
      <c r="H548" s="5">
        <v>5</v>
      </c>
    </row>
    <row r="549" spans="7:8" x14ac:dyDescent="0.25">
      <c r="G549" s="4" t="s">
        <v>11</v>
      </c>
      <c r="H549" s="1">
        <v>5</v>
      </c>
    </row>
    <row r="550" spans="7:8" x14ac:dyDescent="0.25">
      <c r="G550" s="3" t="s">
        <v>11</v>
      </c>
      <c r="H550" s="5">
        <v>5</v>
      </c>
    </row>
    <row r="551" spans="7:8" x14ac:dyDescent="0.25">
      <c r="G551" s="4" t="s">
        <v>11</v>
      </c>
      <c r="H551" s="1">
        <v>3</v>
      </c>
    </row>
    <row r="552" spans="7:8" x14ac:dyDescent="0.25">
      <c r="G552" s="3" t="s">
        <v>18</v>
      </c>
      <c r="H552" s="5">
        <v>4</v>
      </c>
    </row>
    <row r="553" spans="7:8" x14ac:dyDescent="0.25">
      <c r="G553" s="4" t="s">
        <v>11</v>
      </c>
      <c r="H553" s="1">
        <v>4</v>
      </c>
    </row>
    <row r="554" spans="7:8" x14ac:dyDescent="0.25">
      <c r="G554" s="3" t="s">
        <v>11</v>
      </c>
      <c r="H554" s="5">
        <v>5</v>
      </c>
    </row>
    <row r="555" spans="7:8" x14ac:dyDescent="0.25">
      <c r="G555" s="4" t="s">
        <v>11</v>
      </c>
      <c r="H555" s="1">
        <v>5</v>
      </c>
    </row>
    <row r="556" spans="7:8" x14ac:dyDescent="0.25">
      <c r="G556" s="3" t="s">
        <v>11</v>
      </c>
      <c r="H556" s="5">
        <v>5</v>
      </c>
    </row>
    <row r="557" spans="7:8" x14ac:dyDescent="0.25">
      <c r="G557" s="4" t="s">
        <v>20</v>
      </c>
      <c r="H557" s="1">
        <v>2</v>
      </c>
    </row>
    <row r="558" spans="7:8" x14ac:dyDescent="0.25">
      <c r="G558" s="3" t="s">
        <v>22</v>
      </c>
      <c r="H558" s="5">
        <v>5</v>
      </c>
    </row>
    <row r="559" spans="7:8" ht="15.75" thickBot="1" x14ac:dyDescent="0.3">
      <c r="G559" s="42" t="s">
        <v>11</v>
      </c>
      <c r="H559" s="43">
        <v>4</v>
      </c>
    </row>
  </sheetData>
  <mergeCells count="1">
    <mergeCell ref="D1:I1"/>
  </mergeCells>
  <pageMargins left="0.7" right="0.7" top="0.75" bottom="0.75" header="0.3" footer="0.3"/>
  <tableParts count="2">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88FC-E38F-4C8D-92C3-EA5C07816FEF}">
  <dimension ref="B2:G22"/>
  <sheetViews>
    <sheetView workbookViewId="0">
      <selection activeCell="G17" sqref="G17"/>
    </sheetView>
  </sheetViews>
  <sheetFormatPr defaultRowHeight="15" x14ac:dyDescent="0.25"/>
  <cols>
    <col min="2" max="2" width="20" bestFit="1" customWidth="1"/>
    <col min="3" max="3" width="32" bestFit="1" customWidth="1"/>
    <col min="4" max="4" width="32.42578125" customWidth="1"/>
    <col min="5" max="5" width="18.7109375" customWidth="1"/>
    <col min="6" max="6" width="24.7109375" bestFit="1" customWidth="1"/>
    <col min="7" max="7" width="26.5703125" customWidth="1"/>
  </cols>
  <sheetData>
    <row r="2" spans="2:7" ht="30" x14ac:dyDescent="0.25">
      <c r="B2" s="26" t="s">
        <v>5</v>
      </c>
      <c r="C2" s="27" t="s">
        <v>28</v>
      </c>
      <c r="D2" s="27" t="s">
        <v>29</v>
      </c>
      <c r="E2" s="27" t="s">
        <v>30</v>
      </c>
      <c r="F2" s="28" t="s">
        <v>31</v>
      </c>
      <c r="G2" s="28" t="s">
        <v>32</v>
      </c>
    </row>
    <row r="3" spans="2:7" ht="30" x14ac:dyDescent="0.25">
      <c r="B3" s="21" t="s">
        <v>9</v>
      </c>
      <c r="C3" s="22">
        <v>3500</v>
      </c>
      <c r="D3" s="18" t="s">
        <v>33</v>
      </c>
      <c r="E3" s="18" t="s">
        <v>34</v>
      </c>
      <c r="F3" s="19" t="str">
        <f>IF(D3="Yes","Healthcare", "Non-Healthcare")</f>
        <v>Healthcare</v>
      </c>
      <c r="G3" s="29" t="str">
        <f>IF(E3= "Yes","RequiresTraining","Traind")</f>
        <v>Traind</v>
      </c>
    </row>
    <row r="4" spans="2:7" ht="30" x14ac:dyDescent="0.25">
      <c r="B4" s="16" t="s">
        <v>12</v>
      </c>
      <c r="C4" s="23">
        <v>2000</v>
      </c>
      <c r="D4" s="19" t="s">
        <v>33</v>
      </c>
      <c r="E4" s="19" t="s">
        <v>34</v>
      </c>
      <c r="F4" s="19" t="str">
        <f>IF(D4="Yes","Healthcare", "Non-Healthcare")</f>
        <v>Healthcare</v>
      </c>
      <c r="G4" s="29" t="str">
        <f t="shared" ref="G4:G12" si="0">IF(E4= "Yes","RequiresTraining","Traind")</f>
        <v>Traind</v>
      </c>
    </row>
    <row r="5" spans="2:7" ht="45" x14ac:dyDescent="0.25">
      <c r="B5" s="21" t="s">
        <v>15</v>
      </c>
      <c r="C5" s="22">
        <v>1500</v>
      </c>
      <c r="D5" s="18" t="s">
        <v>33</v>
      </c>
      <c r="E5" s="18" t="s">
        <v>34</v>
      </c>
      <c r="F5" s="19" t="str">
        <f t="shared" ref="F5:F12" si="1">IF(D5="Yes","Healthcare", "Non-Healthcare")</f>
        <v>Healthcare</v>
      </c>
      <c r="G5" s="29" t="str">
        <f t="shared" si="0"/>
        <v>Traind</v>
      </c>
    </row>
    <row r="6" spans="2:7" ht="30" x14ac:dyDescent="0.25">
      <c r="B6" s="16" t="s">
        <v>17</v>
      </c>
      <c r="C6" s="23">
        <v>1500</v>
      </c>
      <c r="D6" s="19" t="s">
        <v>34</v>
      </c>
      <c r="E6" s="19" t="s">
        <v>33</v>
      </c>
      <c r="F6" s="19" t="str">
        <f t="shared" si="1"/>
        <v>Non-Healthcare</v>
      </c>
      <c r="G6" s="29" t="str">
        <f t="shared" si="0"/>
        <v>RequiresTraining</v>
      </c>
    </row>
    <row r="7" spans="2:7" ht="30" x14ac:dyDescent="0.25">
      <c r="B7" s="21" t="s">
        <v>19</v>
      </c>
      <c r="C7" s="22">
        <v>1000</v>
      </c>
      <c r="D7" s="18" t="s">
        <v>34</v>
      </c>
      <c r="E7" s="18" t="s">
        <v>33</v>
      </c>
      <c r="F7" s="19" t="str">
        <f t="shared" si="1"/>
        <v>Non-Healthcare</v>
      </c>
      <c r="G7" s="29" t="str">
        <f t="shared" si="0"/>
        <v>RequiresTraining</v>
      </c>
    </row>
    <row r="8" spans="2:7" ht="30" x14ac:dyDescent="0.25">
      <c r="B8" s="16" t="s">
        <v>21</v>
      </c>
      <c r="C8" s="19">
        <v>600</v>
      </c>
      <c r="D8" s="19" t="s">
        <v>34</v>
      </c>
      <c r="E8" s="19" t="s">
        <v>33</v>
      </c>
      <c r="F8" s="19" t="str">
        <f t="shared" si="1"/>
        <v>Non-Healthcare</v>
      </c>
      <c r="G8" s="29" t="str">
        <f t="shared" si="0"/>
        <v>RequiresTraining</v>
      </c>
    </row>
    <row r="9" spans="2:7" ht="30" x14ac:dyDescent="0.25">
      <c r="B9" s="21" t="s">
        <v>24</v>
      </c>
      <c r="C9" s="18">
        <v>400</v>
      </c>
      <c r="D9" s="18" t="s">
        <v>34</v>
      </c>
      <c r="E9" s="18" t="s">
        <v>33</v>
      </c>
      <c r="F9" s="19" t="str">
        <f t="shared" si="1"/>
        <v>Non-Healthcare</v>
      </c>
      <c r="G9" s="29" t="str">
        <f t="shared" si="0"/>
        <v>RequiresTraining</v>
      </c>
    </row>
    <row r="10" spans="2:7" ht="30" x14ac:dyDescent="0.25">
      <c r="B10" s="16" t="s">
        <v>25</v>
      </c>
      <c r="C10" s="23">
        <v>2500</v>
      </c>
      <c r="D10" s="19" t="s">
        <v>34</v>
      </c>
      <c r="E10" s="19" t="s">
        <v>34</v>
      </c>
      <c r="F10" s="19" t="str">
        <f t="shared" si="1"/>
        <v>Non-Healthcare</v>
      </c>
      <c r="G10" s="29" t="str">
        <f t="shared" si="0"/>
        <v>Traind</v>
      </c>
    </row>
    <row r="11" spans="2:7" ht="30" x14ac:dyDescent="0.25">
      <c r="B11" s="21" t="s">
        <v>26</v>
      </c>
      <c r="C11" s="22">
        <v>2000</v>
      </c>
      <c r="D11" s="18" t="s">
        <v>34</v>
      </c>
      <c r="E11" s="18" t="s">
        <v>34</v>
      </c>
      <c r="F11" s="19" t="str">
        <f t="shared" si="1"/>
        <v>Non-Healthcare</v>
      </c>
      <c r="G11" s="29" t="str">
        <f t="shared" si="0"/>
        <v>Traind</v>
      </c>
    </row>
    <row r="12" spans="2:7" ht="30" x14ac:dyDescent="0.25">
      <c r="B12" s="24" t="s">
        <v>27</v>
      </c>
      <c r="C12" s="25">
        <v>2500</v>
      </c>
      <c r="D12" s="20" t="s">
        <v>34</v>
      </c>
      <c r="E12" s="20" t="s">
        <v>34</v>
      </c>
      <c r="F12" s="19" t="str">
        <f t="shared" si="1"/>
        <v>Non-Healthcare</v>
      </c>
      <c r="G12" s="29" t="str">
        <f t="shared" si="0"/>
        <v>Traind</v>
      </c>
    </row>
    <row r="15" spans="2:7" ht="24" x14ac:dyDescent="0.4">
      <c r="B15" s="149" t="s">
        <v>74</v>
      </c>
      <c r="C15" s="149"/>
    </row>
    <row r="16" spans="2:7" x14ac:dyDescent="0.25">
      <c r="B16" s="30" t="s">
        <v>35</v>
      </c>
      <c r="C16" t="s">
        <v>36</v>
      </c>
    </row>
    <row r="17" spans="2:3" x14ac:dyDescent="0.25">
      <c r="B17" s="4" t="s">
        <v>37</v>
      </c>
      <c r="C17">
        <v>7000</v>
      </c>
    </row>
    <row r="18" spans="2:3" x14ac:dyDescent="0.25">
      <c r="B18" s="31" t="s">
        <v>38</v>
      </c>
      <c r="C18">
        <v>7000</v>
      </c>
    </row>
    <row r="19" spans="2:3" x14ac:dyDescent="0.25">
      <c r="B19" s="4" t="s">
        <v>39</v>
      </c>
      <c r="C19">
        <v>10500</v>
      </c>
    </row>
    <row r="20" spans="2:3" x14ac:dyDescent="0.25">
      <c r="B20" s="31" t="s">
        <v>40</v>
      </c>
      <c r="C20">
        <v>3500</v>
      </c>
    </row>
    <row r="21" spans="2:3" x14ac:dyDescent="0.25">
      <c r="B21" s="31" t="s">
        <v>38</v>
      </c>
      <c r="C21">
        <v>7000</v>
      </c>
    </row>
    <row r="22" spans="2:3" x14ac:dyDescent="0.25">
      <c r="B22" s="4" t="s">
        <v>41</v>
      </c>
      <c r="C22">
        <v>17500</v>
      </c>
    </row>
  </sheetData>
  <mergeCells count="1">
    <mergeCell ref="B15:C15"/>
  </mergeCells>
  <conditionalFormatting sqref="F3:F12">
    <cfRule type="colorScale" priority="1">
      <colorScale>
        <cfvo type="min"/>
        <cfvo type="percentile" val="50"/>
        <cfvo type="max"/>
        <color rgb="FF63BE7B"/>
        <color rgb="FFFCFCFF"/>
        <color rgb="FFF8696B"/>
      </colorScale>
    </cfRule>
  </conditionalFormatting>
  <conditionalFormatting sqref="F13:F16">
    <cfRule type="colorScale" priority="2">
      <colorScale>
        <cfvo type="min"/>
        <cfvo type="percentile" val="50"/>
        <cfvo type="max"/>
        <color rgb="FF63BE7B"/>
        <color rgb="FFFCFCFF"/>
        <color rgb="FFF8696B"/>
      </colorScale>
    </cfRule>
  </conditionalFormatting>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D861-477E-45A2-B2FB-2317E6E5442C}">
  <dimension ref="A1:I42"/>
  <sheetViews>
    <sheetView zoomScale="55" zoomScaleNormal="55" workbookViewId="0">
      <selection activeCell="H21" sqref="H21"/>
    </sheetView>
  </sheetViews>
  <sheetFormatPr defaultRowHeight="15" x14ac:dyDescent="0.25"/>
  <cols>
    <col min="1" max="1" width="21.7109375" bestFit="1" customWidth="1"/>
    <col min="2" max="2" width="33.42578125" bestFit="1" customWidth="1"/>
    <col min="3" max="3" width="15.7109375" bestFit="1" customWidth="1"/>
    <col min="4" max="4" width="37.140625" bestFit="1" customWidth="1"/>
    <col min="5" max="5" width="40" bestFit="1" customWidth="1"/>
    <col min="6" max="6" width="24.5703125" bestFit="1" customWidth="1"/>
    <col min="7" max="7" width="13" bestFit="1" customWidth="1"/>
    <col min="8" max="8" width="24.5703125" customWidth="1"/>
    <col min="9" max="9" width="14.5703125" bestFit="1" customWidth="1"/>
    <col min="10" max="10" width="23.7109375" bestFit="1" customWidth="1"/>
  </cols>
  <sheetData>
    <row r="1" spans="1:9" ht="15" customHeight="1" x14ac:dyDescent="0.25">
      <c r="A1" s="150" t="s">
        <v>57</v>
      </c>
      <c r="B1" s="151"/>
      <c r="C1" s="151"/>
      <c r="D1" s="151"/>
      <c r="E1" s="152"/>
    </row>
    <row r="2" spans="1:9" ht="18.75" customHeight="1" thickBot="1" x14ac:dyDescent="0.3">
      <c r="A2" s="153"/>
      <c r="B2" s="154"/>
      <c r="C2" s="154"/>
      <c r="D2" s="154"/>
      <c r="E2" s="155"/>
    </row>
    <row r="3" spans="1:9" x14ac:dyDescent="0.25">
      <c r="A3" s="44" t="s">
        <v>71</v>
      </c>
      <c r="B3" s="34" t="s">
        <v>56</v>
      </c>
      <c r="C3" s="49" t="s">
        <v>72</v>
      </c>
      <c r="D3" s="54" t="s">
        <v>56</v>
      </c>
      <c r="E3" s="52" t="s">
        <v>73</v>
      </c>
    </row>
    <row r="4" spans="1:9" x14ac:dyDescent="0.25">
      <c r="A4" s="45" t="s">
        <v>10</v>
      </c>
      <c r="B4">
        <v>58</v>
      </c>
      <c r="C4" s="50" t="s">
        <v>10</v>
      </c>
      <c r="D4" s="55">
        <v>11</v>
      </c>
      <c r="E4" s="46">
        <v>69</v>
      </c>
    </row>
    <row r="5" spans="1:9" x14ac:dyDescent="0.25">
      <c r="A5" s="45" t="s">
        <v>13</v>
      </c>
      <c r="B5">
        <v>48</v>
      </c>
      <c r="C5" s="50" t="s">
        <v>13</v>
      </c>
      <c r="D5" s="55">
        <v>24</v>
      </c>
      <c r="E5" s="46">
        <v>72</v>
      </c>
    </row>
    <row r="6" spans="1:9" x14ac:dyDescent="0.25">
      <c r="A6" s="45" t="s">
        <v>16</v>
      </c>
      <c r="B6">
        <v>36</v>
      </c>
      <c r="C6" s="50" t="s">
        <v>16</v>
      </c>
      <c r="D6" s="55">
        <v>30</v>
      </c>
      <c r="E6" s="46">
        <v>66</v>
      </c>
    </row>
    <row r="7" spans="1:9" x14ac:dyDescent="0.25">
      <c r="A7" s="45" t="s">
        <v>18</v>
      </c>
      <c r="B7">
        <v>57</v>
      </c>
      <c r="C7" s="50" t="s">
        <v>18</v>
      </c>
      <c r="D7" s="55">
        <v>10</v>
      </c>
      <c r="E7" s="46">
        <v>67</v>
      </c>
    </row>
    <row r="8" spans="1:9" x14ac:dyDescent="0.25">
      <c r="A8" s="45" t="s">
        <v>11</v>
      </c>
      <c r="B8">
        <v>165</v>
      </c>
      <c r="C8" s="50" t="s">
        <v>11</v>
      </c>
      <c r="D8" s="55">
        <v>600</v>
      </c>
      <c r="E8" s="46">
        <v>765</v>
      </c>
    </row>
    <row r="9" spans="1:9" x14ac:dyDescent="0.25">
      <c r="A9" s="45" t="s">
        <v>22</v>
      </c>
      <c r="B9">
        <v>57</v>
      </c>
      <c r="C9" s="50" t="s">
        <v>22</v>
      </c>
      <c r="D9" s="55">
        <v>41</v>
      </c>
      <c r="E9" s="46">
        <v>98</v>
      </c>
    </row>
    <row r="10" spans="1:9" x14ac:dyDescent="0.25">
      <c r="A10" s="45" t="s">
        <v>20</v>
      </c>
      <c r="B10">
        <v>71</v>
      </c>
      <c r="C10" s="50" t="s">
        <v>20</v>
      </c>
      <c r="D10" s="55">
        <v>25</v>
      </c>
      <c r="E10" s="46">
        <v>96</v>
      </c>
    </row>
    <row r="11" spans="1:9" x14ac:dyDescent="0.25">
      <c r="A11" s="45" t="s">
        <v>8</v>
      </c>
      <c r="B11">
        <v>69</v>
      </c>
      <c r="C11" s="50" t="s">
        <v>8</v>
      </c>
      <c r="D11" s="55">
        <v>8</v>
      </c>
      <c r="E11" s="46">
        <v>77</v>
      </c>
    </row>
    <row r="12" spans="1:9" x14ac:dyDescent="0.25">
      <c r="A12" s="45" t="s">
        <v>14</v>
      </c>
      <c r="B12">
        <v>74</v>
      </c>
      <c r="C12" s="50" t="s">
        <v>14</v>
      </c>
      <c r="D12" s="55">
        <v>35</v>
      </c>
      <c r="E12" s="46">
        <v>109</v>
      </c>
    </row>
    <row r="13" spans="1:9" x14ac:dyDescent="0.25">
      <c r="A13" s="45" t="s">
        <v>23</v>
      </c>
      <c r="B13">
        <v>53</v>
      </c>
      <c r="C13" s="50" t="s">
        <v>23</v>
      </c>
      <c r="D13" s="55">
        <v>13</v>
      </c>
      <c r="E13" s="46">
        <v>66</v>
      </c>
    </row>
    <row r="14" spans="1:9" ht="15.75" thickBot="1" x14ac:dyDescent="0.3">
      <c r="A14" s="47" t="s">
        <v>41</v>
      </c>
      <c r="B14" s="48">
        <v>688</v>
      </c>
      <c r="C14" s="51" t="s">
        <v>41</v>
      </c>
      <c r="D14" s="56">
        <v>797</v>
      </c>
      <c r="E14" s="53">
        <v>1485</v>
      </c>
    </row>
    <row r="15" spans="1:9" ht="15.75" thickBot="1" x14ac:dyDescent="0.3"/>
    <row r="16" spans="1:9" ht="15" customHeight="1" x14ac:dyDescent="0.25">
      <c r="A16" s="156" t="s">
        <v>602</v>
      </c>
      <c r="B16" s="157"/>
      <c r="C16" s="157"/>
      <c r="D16" s="157"/>
      <c r="E16" s="157"/>
      <c r="F16" s="157"/>
      <c r="G16" s="157"/>
      <c r="H16" s="157"/>
      <c r="I16" s="158"/>
    </row>
    <row r="17" spans="1:9" ht="36.75" customHeight="1" thickBot="1" x14ac:dyDescent="0.3">
      <c r="A17" s="159"/>
      <c r="B17" s="160"/>
      <c r="C17" s="160"/>
      <c r="D17" s="160"/>
      <c r="E17" s="160"/>
      <c r="F17" s="160"/>
      <c r="G17" s="160"/>
      <c r="H17" s="160"/>
      <c r="I17" s="161"/>
    </row>
    <row r="18" spans="1:9" ht="30" customHeight="1" thickBot="1" x14ac:dyDescent="0.3">
      <c r="A18" s="133" t="s">
        <v>5</v>
      </c>
      <c r="B18" s="134" t="s">
        <v>61</v>
      </c>
      <c r="C18" s="33" t="s">
        <v>58</v>
      </c>
      <c r="D18" s="67" t="s">
        <v>31</v>
      </c>
      <c r="E18" s="67" t="s">
        <v>32</v>
      </c>
      <c r="F18" s="66" t="s">
        <v>59</v>
      </c>
      <c r="G18" s="106" t="s">
        <v>60</v>
      </c>
      <c r="H18" s="106" t="s">
        <v>618</v>
      </c>
      <c r="I18" s="65" t="s">
        <v>619</v>
      </c>
    </row>
    <row r="19" spans="1:9" ht="30" x14ac:dyDescent="0.25">
      <c r="A19" s="57" t="s">
        <v>9</v>
      </c>
      <c r="B19" s="12">
        <v>3500</v>
      </c>
      <c r="C19" s="108" t="s">
        <v>11</v>
      </c>
      <c r="D19" s="11" t="str">
        <f>IF('[1]Forecasted Volunteer Hours'!$D$6="Yes","Healthcare", "Non-Healthcare")</f>
        <v>Healthcare</v>
      </c>
      <c r="E19" s="33" t="str">
        <f>IF('[1]Forecasted Volunteer Hours'!E6= "Yes","RequiresTraining","Traind")</f>
        <v>Traind</v>
      </c>
      <c r="F19" s="107">
        <f>E8</f>
        <v>765</v>
      </c>
      <c r="G19" s="109">
        <f>B19-Table3[[#This Row],[Current Hours ]]</f>
        <v>2735</v>
      </c>
      <c r="H19" s="107" t="str">
        <f>IF(G19&gt;1000, "High Shortage", IF(G19&gt;0, "Moderate Shortage", "Sufficient"))</f>
        <v>High Shortage</v>
      </c>
      <c r="I19" s="65">
        <f>_xlfn.RANK.EQ(Table3[[#This Row],[Gap]],Table3[[#All],[Gap]],0)</f>
        <v>1</v>
      </c>
    </row>
    <row r="20" spans="1:9" ht="60" x14ac:dyDescent="0.25">
      <c r="A20" s="58" t="s">
        <v>12</v>
      </c>
      <c r="B20" s="13">
        <v>2000</v>
      </c>
      <c r="C20" s="108" t="s">
        <v>62</v>
      </c>
      <c r="D20" s="11" t="str">
        <f>IF('[1]Forecasted Volunteer Hours'!$D$7="Yes","Healthcare", "Non-Healthcare")</f>
        <v>Healthcare</v>
      </c>
      <c r="E20" s="33" t="str">
        <f>IF('[1]Forecasted Volunteer Hours'!E7= "Yes","RequiresTraining","Traind")</f>
        <v>Traind</v>
      </c>
      <c r="F20" s="33">
        <f>SUM(E6,E8)</f>
        <v>831</v>
      </c>
      <c r="G20" s="110">
        <f>B20-Table3[[#This Row],[Current Hours ]]</f>
        <v>1169</v>
      </c>
      <c r="H20" s="33" t="str">
        <f t="shared" ref="H20:H28" si="0">IF(G20&gt;1000, "High Shortage", IF(G20&gt;0, "Moderate Shortage", "Sufficient"))</f>
        <v>High Shortage</v>
      </c>
      <c r="I20" s="65">
        <f>_xlfn.RANK.EQ(Table3[[#This Row],[Gap]],Table3[[#All],[Gap]],0)</f>
        <v>6</v>
      </c>
    </row>
    <row r="21" spans="1:9" ht="75" x14ac:dyDescent="0.25">
      <c r="A21" s="57" t="s">
        <v>15</v>
      </c>
      <c r="B21" s="12">
        <v>1500</v>
      </c>
      <c r="C21" s="108" t="s">
        <v>63</v>
      </c>
      <c r="D21" s="11" t="str">
        <f>IF('[1]Forecasted Volunteer Hours'!$D$8="Yes","Healthcare", "Non-Healthcare")</f>
        <v>Healthcare</v>
      </c>
      <c r="E21" s="33" t="str">
        <f>IF('[1]Forecasted Volunteer Hours'!E8= "Yes","RequiresTraining","Traind")</f>
        <v>Traind</v>
      </c>
      <c r="F21" s="107">
        <f>SUM(E8,E12)</f>
        <v>874</v>
      </c>
      <c r="G21" s="109">
        <f>B21-Table3[[#This Row],[Current Hours ]]</f>
        <v>626</v>
      </c>
      <c r="H21" s="107" t="str">
        <f t="shared" si="0"/>
        <v>Moderate Shortage</v>
      </c>
      <c r="I21" s="65">
        <f>_xlfn.RANK.EQ(Table3[[#This Row],[Gap]],Table3[[#All],[Gap]],0)</f>
        <v>8</v>
      </c>
    </row>
    <row r="22" spans="1:9" ht="120" x14ac:dyDescent="0.25">
      <c r="A22" s="58" t="s">
        <v>17</v>
      </c>
      <c r="B22" s="13">
        <v>1500</v>
      </c>
      <c r="C22" s="108" t="s">
        <v>64</v>
      </c>
      <c r="D22" s="11" t="str">
        <f>IF('[1]Forecasted Volunteer Hours'!$D$9="Yes","Healthcare", "Non-Healthcare")</f>
        <v>Non-Healthcare</v>
      </c>
      <c r="E22" s="33" t="str">
        <f>IF('[1]Forecasted Volunteer Hours'!E9= "Yes","RequiresTraining","Traind")</f>
        <v>RequiresTraining</v>
      </c>
      <c r="F22" s="33">
        <f>SUM(GETPIVOTDATA("Average Monthly Hours",$A$3,"Sector","Arts, Media &amp; Communications"),GETPIVOTDATA("Average Monthly Hours",$A$3,"Sector","Law, Governance &amp; Public Policy"),GETPIVOTDATA("Average Monthly Hours",$A$3,"Sector","Hospitality, Tourism &amp; Services"))</f>
        <v>184</v>
      </c>
      <c r="G22" s="110">
        <f>B22-Table3[[#This Row],[Current Hours ]]</f>
        <v>1316</v>
      </c>
      <c r="H22" s="33" t="str">
        <f t="shared" si="0"/>
        <v>High Shortage</v>
      </c>
      <c r="I22" s="65">
        <f>_xlfn.RANK.EQ(Table3[[#This Row],[Gap]],Table3[[#All],[Gap]],0)</f>
        <v>5</v>
      </c>
    </row>
    <row r="23" spans="1:9" ht="90" x14ac:dyDescent="0.25">
      <c r="A23" s="57" t="s">
        <v>19</v>
      </c>
      <c r="B23" s="12">
        <v>1000</v>
      </c>
      <c r="C23" s="108" t="s">
        <v>65</v>
      </c>
      <c r="D23" s="11" t="str">
        <f>IF('[1]Forecasted Volunteer Hours'!$D$10="Yes","Healthcare", "Non-Healthcare")</f>
        <v>Non-Healthcare</v>
      </c>
      <c r="E23" s="33" t="str">
        <f>IF('[1]Forecasted Volunteer Hours'!E10= "Yes","RequiresTraining","Traind")</f>
        <v>RequiresTraining</v>
      </c>
      <c r="F23" s="107">
        <f>SUM(GETPIVOTDATA("Average Monthly Hours",$A$3,"Sector","Hospitality, Tourism &amp; Services"),GETPIVOTDATA("Average Monthly Hours",$A$3,"Sector","Law, Governance &amp; Public Policy"))</f>
        <v>126</v>
      </c>
      <c r="G23" s="109">
        <f>B23-Table3[[#This Row],[Current Hours ]]</f>
        <v>874</v>
      </c>
      <c r="H23" s="107" t="str">
        <f t="shared" si="0"/>
        <v>Moderate Shortage</v>
      </c>
      <c r="I23" s="65">
        <f>_xlfn.RANK.EQ(Table3[[#This Row],[Gap]],Table3[[#All],[Gap]],0)</f>
        <v>7</v>
      </c>
    </row>
    <row r="24" spans="1:9" ht="120" x14ac:dyDescent="0.25">
      <c r="A24" s="58" t="s">
        <v>21</v>
      </c>
      <c r="B24" s="11">
        <v>600</v>
      </c>
      <c r="C24" s="108" t="s">
        <v>68</v>
      </c>
      <c r="D24" s="11" t="str">
        <f>IF('[1]Forecasted Volunteer Hours'!D11="Yes","Healthcare", "Non-Healthcare")</f>
        <v>Non-Healthcare</v>
      </c>
      <c r="E24" s="33" t="str">
        <f>IF('[1]Forecasted Volunteer Hours'!E11= "Yes","RequiresTraining","Traind")</f>
        <v>RequiresTraining</v>
      </c>
      <c r="F24" s="33">
        <f>SUM(GETPIVOTDATA("Average Monthly Hours",$A$3,"Sector","Engineering &amp; Manufacturing"),GETPIVOTDATA("Average Monthly Hours",$A$3,"Sector","Trades &amp; Technical Services"),GETPIVOTDATA("Average Monthly Hours",$A$3,"Sector","Hospitality, Tourism &amp; Services"))</f>
        <v>167</v>
      </c>
      <c r="G24" s="110">
        <f>B24-Table3[[#This Row],[Current Hours ]]</f>
        <v>433</v>
      </c>
      <c r="H24" s="33" t="str">
        <f t="shared" si="0"/>
        <v>Moderate Shortage</v>
      </c>
      <c r="I24" s="65">
        <f>_xlfn.RANK.EQ(Table3[[#This Row],[Gap]],Table3[[#All],[Gap]],0)</f>
        <v>9</v>
      </c>
    </row>
    <row r="25" spans="1:9" ht="135" x14ac:dyDescent="0.25">
      <c r="A25" s="57" t="s">
        <v>24</v>
      </c>
      <c r="B25" s="10">
        <v>400</v>
      </c>
      <c r="C25" s="108" t="s">
        <v>70</v>
      </c>
      <c r="D25" s="11" t="str">
        <f>IF('[1]Forecasted Volunteer Hours'!D12="Yes","Healthcare", "Non-Healthcare")</f>
        <v>Non-Healthcare</v>
      </c>
      <c r="E25" s="33" t="str">
        <f>IF('[1]Forecasted Volunteer Hours'!E12= "Yes","RequiresTraining","Traind")</f>
        <v>RequiresTraining</v>
      </c>
      <c r="F25" s="107">
        <f>SUM(GETPIVOTDATA("Average Monthly Hours",$A$3,"Sector","Trades &amp; Technical Services"),GETPIVOTDATA("Average Monthly Hours",$A$3,"Sector","Natural Sciences &amp; Environment"),GETPIVOTDATA("Average Monthly Hours",$A$3,"Sector","Hospitality, Tourism &amp; Services"))</f>
        <v>184</v>
      </c>
      <c r="G25" s="109">
        <f>B25-Table3[[#This Row],[Current Hours ]]</f>
        <v>216</v>
      </c>
      <c r="H25" s="107" t="str">
        <f t="shared" si="0"/>
        <v>Moderate Shortage</v>
      </c>
      <c r="I25" s="65">
        <f>_xlfn.RANK.EQ(Table3[[#This Row],[Gap]],Table3[[#All],[Gap]],0)</f>
        <v>10</v>
      </c>
    </row>
    <row r="26" spans="1:9" ht="45" x14ac:dyDescent="0.25">
      <c r="A26" s="58" t="s">
        <v>25</v>
      </c>
      <c r="B26" s="13">
        <v>2500</v>
      </c>
      <c r="C26" s="108" t="s">
        <v>69</v>
      </c>
      <c r="D26" s="11" t="str">
        <f>IF('[1]Forecasted Volunteer Hours'!D13="Yes","Healthcare", "Non-Healthcare")</f>
        <v>Non-Healthcare</v>
      </c>
      <c r="E26" s="33" t="str">
        <f>IF('[1]Forecasted Volunteer Hours'!E13= "Yes","RequiresTraining","Traind")</f>
        <v>Traind</v>
      </c>
      <c r="F26" s="33">
        <f>SUM(E5,E9,E4)</f>
        <v>239</v>
      </c>
      <c r="G26" s="110">
        <f>B26-Table3[[#This Row],[Current Hours ]]</f>
        <v>2261</v>
      </c>
      <c r="H26" s="33" t="str">
        <f t="shared" si="0"/>
        <v>High Shortage</v>
      </c>
      <c r="I26" s="65">
        <f>_xlfn.RANK.EQ(Table3[[#This Row],[Gap]],Table3[[#All],[Gap]],0)</f>
        <v>3</v>
      </c>
    </row>
    <row r="27" spans="1:9" ht="75" x14ac:dyDescent="0.25">
      <c r="A27" s="57" t="s">
        <v>26</v>
      </c>
      <c r="B27" s="12">
        <v>2000</v>
      </c>
      <c r="C27" s="108" t="s">
        <v>66</v>
      </c>
      <c r="D27" s="11" t="str">
        <f>IF('[1]Forecasted Volunteer Hours'!D14="Yes","Healthcare", "Non-Healthcare")</f>
        <v>Non-Healthcare</v>
      </c>
      <c r="E27" s="33" t="str">
        <f>IF('[1]Forecasted Volunteer Hours'!E14= "Yes","RequiresTraining","Traind")</f>
        <v>Traind</v>
      </c>
      <c r="F27" s="107">
        <f>SUM(E10,E5)</f>
        <v>168</v>
      </c>
      <c r="G27" s="109">
        <f>B27-Table3[[#This Row],[Current Hours ]]</f>
        <v>1832</v>
      </c>
      <c r="H27" s="107" t="str">
        <f t="shared" si="0"/>
        <v>High Shortage</v>
      </c>
      <c r="I27" s="65">
        <f>_xlfn.RANK.EQ(Table3[[#This Row],[Gap]],Table3[[#All],[Gap]],0)</f>
        <v>4</v>
      </c>
    </row>
    <row r="28" spans="1:9" ht="75.75" thickBot="1" x14ac:dyDescent="0.3">
      <c r="A28" s="59" t="s">
        <v>27</v>
      </c>
      <c r="B28" s="60">
        <v>2500</v>
      </c>
      <c r="C28" s="61" t="s">
        <v>67</v>
      </c>
      <c r="D28" s="88" t="str">
        <f>IF('[1]Forecasted Volunteer Hours'!D15="Yes","Healthcare", "Non-Healthcare")</f>
        <v>Non-Healthcare</v>
      </c>
      <c r="E28" s="62" t="str">
        <f>IF('[1]Forecasted Volunteer Hours'!E15= "Yes","RequiresTraining","Traind")</f>
        <v>Traind</v>
      </c>
      <c r="F28" s="62">
        <f>SUM(E4,E11)</f>
        <v>146</v>
      </c>
      <c r="G28" s="69">
        <f>B28-Table3[[#This Row],[Current Hours ]]</f>
        <v>2354</v>
      </c>
      <c r="H28" s="62" t="str">
        <f t="shared" si="0"/>
        <v>High Shortage</v>
      </c>
      <c r="I28" s="68">
        <f>_xlfn.RANK.EQ(Table3[[#This Row],[Gap]],Table3[[#All],[Gap]],0)</f>
        <v>2</v>
      </c>
    </row>
    <row r="29" spans="1:9" x14ac:dyDescent="0.25">
      <c r="I29" s="32"/>
    </row>
    <row r="30" spans="1:9" x14ac:dyDescent="0.25">
      <c r="F30" s="32"/>
    </row>
    <row r="31" spans="1:9" x14ac:dyDescent="0.25">
      <c r="B31" s="33"/>
    </row>
    <row r="32" spans="1:9" x14ac:dyDescent="0.25">
      <c r="A32" s="30" t="s">
        <v>35</v>
      </c>
      <c r="B32" t="s">
        <v>75</v>
      </c>
      <c r="C32" t="s">
        <v>76</v>
      </c>
      <c r="D32" s="33"/>
    </row>
    <row r="33" spans="1:5" x14ac:dyDescent="0.25">
      <c r="A33" s="4" t="s">
        <v>37</v>
      </c>
      <c r="B33" s="177">
        <v>7000</v>
      </c>
      <c r="C33" s="63">
        <v>4530</v>
      </c>
      <c r="D33" s="33"/>
    </row>
    <row r="34" spans="1:5" x14ac:dyDescent="0.25">
      <c r="A34" s="31" t="s">
        <v>38</v>
      </c>
      <c r="B34" s="177">
        <v>7000</v>
      </c>
      <c r="C34" s="63">
        <v>4530</v>
      </c>
      <c r="D34" s="63"/>
    </row>
    <row r="35" spans="1:5" x14ac:dyDescent="0.25">
      <c r="A35" s="4" t="s">
        <v>39</v>
      </c>
      <c r="B35" s="177">
        <v>10500</v>
      </c>
      <c r="C35" s="63">
        <v>9286</v>
      </c>
      <c r="D35" s="64"/>
    </row>
    <row r="36" spans="1:5" x14ac:dyDescent="0.25">
      <c r="A36" s="31" t="s">
        <v>40</v>
      </c>
      <c r="B36" s="177">
        <v>3500</v>
      </c>
      <c r="C36" s="63">
        <v>2839</v>
      </c>
      <c r="D36" s="63"/>
      <c r="E36" t="s">
        <v>587</v>
      </c>
    </row>
    <row r="37" spans="1:5" x14ac:dyDescent="0.25">
      <c r="A37" s="31" t="s">
        <v>38</v>
      </c>
      <c r="B37" s="177">
        <v>7000</v>
      </c>
      <c r="C37" s="63">
        <v>6447</v>
      </c>
      <c r="D37" s="63"/>
    </row>
    <row r="38" spans="1:5" x14ac:dyDescent="0.25">
      <c r="A38" s="4" t="s">
        <v>41</v>
      </c>
      <c r="B38" s="177">
        <v>17500</v>
      </c>
      <c r="C38" s="63">
        <v>13816</v>
      </c>
      <c r="D38" s="1"/>
    </row>
    <row r="42" spans="1:5" ht="24" x14ac:dyDescent="0.4">
      <c r="A42" s="149"/>
      <c r="B42" s="149"/>
    </row>
  </sheetData>
  <autoFilter ref="A18:B18" xr:uid="{99F3D861-477E-45A2-B2FB-2317E6E5442C}"/>
  <mergeCells count="3">
    <mergeCell ref="A42:B42"/>
    <mergeCell ref="A1:E2"/>
    <mergeCell ref="A16:I17"/>
  </mergeCells>
  <conditionalFormatting sqref="D19:D28">
    <cfRule type="colorScale" priority="6">
      <colorScale>
        <cfvo type="min"/>
        <cfvo type="percentile" val="50"/>
        <cfvo type="max"/>
        <color rgb="FF63BE7B"/>
        <color rgb="FFFCFCFF"/>
        <color rgb="FFF8696B"/>
      </colorScale>
    </cfRule>
  </conditionalFormatting>
  <conditionalFormatting sqref="H19:H28">
    <cfRule type="containsText" dxfId="341" priority="2" operator="containsText" text="Moderate Shortage">
      <formula>NOT(ISERROR(SEARCH("Moderate Shortage",H19)))</formula>
    </cfRule>
    <cfRule type="containsText" dxfId="340" priority="3" operator="containsText" text="High Shortage">
      <formula>NOT(ISERROR(SEARCH("High Shortage",H19)))</formula>
    </cfRule>
  </conditionalFormatting>
  <conditionalFormatting sqref="I19:I28">
    <cfRule type="colorScale" priority="1">
      <colorScale>
        <cfvo type="min"/>
        <cfvo type="percentile" val="50"/>
        <cfvo type="max"/>
        <color rgb="FFF8696B"/>
        <color rgb="FFFCFCFF"/>
        <color rgb="FF5A8AC6"/>
      </colorScale>
    </cfRule>
  </conditionalFormatting>
  <pageMargins left="0.7" right="0.7" top="0.75" bottom="0.75" header="0.3" footer="0.3"/>
  <ignoredErrors>
    <ignoredError sqref="D19:D28" calculatedColumn="1"/>
  </ignoredErrors>
  <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79DC89A7-04E1-4DE7-972D-8FF9AA67B85B}">
            <xm:f>NOT(ISERROR(SEARCH($H$19,H19)))</xm:f>
            <xm:f>$H$19</xm:f>
            <x14:dxf>
              <font>
                <color rgb="FF9C0006"/>
              </font>
              <fill>
                <patternFill>
                  <bgColor rgb="FFFFC7CE"/>
                </patternFill>
              </fill>
            </x14:dxf>
          </x14:cfRule>
          <xm:sqref>H19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BFF73-04E1-45A5-BC90-2BDF0B558BED}">
  <dimension ref="B1:I41"/>
  <sheetViews>
    <sheetView zoomScale="70" zoomScaleNormal="70" workbookViewId="0">
      <selection activeCell="K14" sqref="K14"/>
    </sheetView>
  </sheetViews>
  <sheetFormatPr defaultRowHeight="15" x14ac:dyDescent="0.25"/>
  <cols>
    <col min="1" max="1" width="17.140625" customWidth="1"/>
    <col min="2" max="2" width="26.42578125" bestFit="1" customWidth="1"/>
    <col min="3" max="3" width="32" bestFit="1" customWidth="1"/>
    <col min="4" max="4" width="37" bestFit="1" customWidth="1"/>
    <col min="5" max="5" width="35.140625" bestFit="1" customWidth="1"/>
    <col min="6" max="6" width="32.140625" bestFit="1" customWidth="1"/>
    <col min="7" max="7" width="30.5703125" bestFit="1" customWidth="1"/>
    <col min="8" max="8" width="24.85546875" bestFit="1" customWidth="1"/>
    <col min="9" max="9" width="21.42578125" bestFit="1" customWidth="1"/>
    <col min="10" max="10" width="25" bestFit="1" customWidth="1"/>
    <col min="11" max="11" width="26.42578125" bestFit="1" customWidth="1"/>
    <col min="12" max="13" width="32" bestFit="1" customWidth="1"/>
    <col min="14" max="14" width="19.140625" bestFit="1" customWidth="1"/>
    <col min="15" max="15" width="17.85546875" customWidth="1"/>
  </cols>
  <sheetData>
    <row r="1" spans="2:9" ht="15.75" thickBot="1" x14ac:dyDescent="0.3"/>
    <row r="2" spans="2:9" x14ac:dyDescent="0.25">
      <c r="B2" s="162" t="s">
        <v>629</v>
      </c>
      <c r="C2" s="163"/>
      <c r="D2" s="163"/>
      <c r="E2" s="163"/>
      <c r="F2" s="163"/>
      <c r="G2" s="163"/>
      <c r="H2" s="163"/>
      <c r="I2" s="164"/>
    </row>
    <row r="3" spans="2:9" ht="36" customHeight="1" x14ac:dyDescent="0.25">
      <c r="B3" s="165"/>
      <c r="C3" s="166"/>
      <c r="D3" s="166"/>
      <c r="E3" s="166"/>
      <c r="F3" s="166"/>
      <c r="G3" s="166"/>
      <c r="H3" s="166"/>
      <c r="I3" s="167"/>
    </row>
    <row r="4" spans="2:9" ht="56.25" customHeight="1" x14ac:dyDescent="0.25">
      <c r="B4" s="112" t="s">
        <v>55</v>
      </c>
      <c r="C4" s="113" t="s">
        <v>616</v>
      </c>
      <c r="D4" s="113" t="s">
        <v>621</v>
      </c>
      <c r="E4" s="113" t="s">
        <v>636</v>
      </c>
      <c r="F4" s="113" t="s">
        <v>608</v>
      </c>
      <c r="G4" s="113" t="s">
        <v>637</v>
      </c>
      <c r="H4" s="113" t="s">
        <v>604</v>
      </c>
      <c r="I4" s="115" t="s">
        <v>620</v>
      </c>
    </row>
    <row r="5" spans="2:9" ht="56.25" x14ac:dyDescent="0.25">
      <c r="B5" s="116" t="s">
        <v>53</v>
      </c>
      <c r="C5" s="117">
        <v>0.89</v>
      </c>
      <c r="D5" s="118" t="str">
        <f>IF(C5&lt;=80%, "Low Satisfaction", IF(C5&gt;=90%," High Satisfaction", "Medium Satisfaction"))</f>
        <v>Medium Satisfaction</v>
      </c>
      <c r="E5" s="118" t="s">
        <v>622</v>
      </c>
      <c r="F5" s="113"/>
      <c r="G5" s="119" t="s">
        <v>609</v>
      </c>
      <c r="H5" s="120" t="s">
        <v>611</v>
      </c>
      <c r="I5" s="115">
        <f>_xlfn.RANK.EQ(Table2[[#This Row],[Satisfaction Score]],Table2[Satisfaction Score],0)</f>
        <v>3</v>
      </c>
    </row>
    <row r="6" spans="2:9" ht="87" customHeight="1" x14ac:dyDescent="0.25">
      <c r="B6" s="116" t="s">
        <v>54</v>
      </c>
      <c r="C6" s="117">
        <v>0.91</v>
      </c>
      <c r="D6" s="118" t="str">
        <f t="shared" ref="D6:D9" si="0">IF(C6&lt;=80%, "Low Satisfaction", IF(C6&gt;=90%," High Satisfaction", "Medium Satisfaction"))</f>
        <v xml:space="preserve"> High Satisfaction</v>
      </c>
      <c r="E6" s="118" t="s">
        <v>623</v>
      </c>
      <c r="F6" s="113" t="s">
        <v>626</v>
      </c>
      <c r="G6" s="114" t="s">
        <v>610</v>
      </c>
      <c r="H6" s="121" t="s">
        <v>612</v>
      </c>
      <c r="I6" s="115">
        <f>_xlfn.RANK.EQ(Table2[[#This Row],[Satisfaction Score]],Table2[Satisfaction Score],0)</f>
        <v>2</v>
      </c>
    </row>
    <row r="7" spans="2:9" ht="37.5" x14ac:dyDescent="0.25">
      <c r="B7" s="122" t="s">
        <v>605</v>
      </c>
      <c r="C7" s="123">
        <v>0.74</v>
      </c>
      <c r="D7" s="118" t="str">
        <f t="shared" si="0"/>
        <v>Low Satisfaction</v>
      </c>
      <c r="E7" s="113"/>
      <c r="F7" s="113" t="s">
        <v>627</v>
      </c>
      <c r="G7" s="119" t="s">
        <v>606</v>
      </c>
      <c r="H7" s="120"/>
      <c r="I7" s="115">
        <f>_xlfn.RANK.EQ(Table2[[#This Row],[Satisfaction Score]],Table2[Satisfaction Score],0)</f>
        <v>5</v>
      </c>
    </row>
    <row r="8" spans="2:9" ht="90.75" customHeight="1" x14ac:dyDescent="0.25">
      <c r="B8" s="124" t="s">
        <v>0</v>
      </c>
      <c r="C8" s="125">
        <v>0.88</v>
      </c>
      <c r="D8" s="118" t="str">
        <f t="shared" si="0"/>
        <v>Medium Satisfaction</v>
      </c>
      <c r="E8" s="113" t="s">
        <v>624</v>
      </c>
      <c r="F8" s="113" t="s">
        <v>628</v>
      </c>
      <c r="G8" s="114" t="s">
        <v>613</v>
      </c>
      <c r="H8" s="120" t="s">
        <v>607</v>
      </c>
      <c r="I8" s="115">
        <f>_xlfn.RANK.EQ(Table2[[#This Row],[Satisfaction Score]],Table2[Satisfaction Score],0)</f>
        <v>4</v>
      </c>
    </row>
    <row r="9" spans="2:9" ht="63" customHeight="1" thickBot="1" x14ac:dyDescent="0.3">
      <c r="B9" s="126" t="s">
        <v>51</v>
      </c>
      <c r="C9" s="127">
        <v>0.95</v>
      </c>
      <c r="D9" s="118" t="str">
        <f t="shared" si="0"/>
        <v xml:space="preserve"> High Satisfaction</v>
      </c>
      <c r="E9" s="131" t="s">
        <v>625</v>
      </c>
      <c r="F9" s="129"/>
      <c r="G9" s="128" t="s">
        <v>614</v>
      </c>
      <c r="H9" s="130" t="s">
        <v>615</v>
      </c>
      <c r="I9" s="115">
        <f>_xlfn.RANK.EQ(Table2[[#This Row],[Satisfaction Score]],Table2[Satisfaction Score],0)</f>
        <v>1</v>
      </c>
    </row>
    <row r="13" spans="2:9" x14ac:dyDescent="0.25">
      <c r="B13" s="30" t="s">
        <v>634</v>
      </c>
      <c r="C13" t="s">
        <v>630</v>
      </c>
    </row>
    <row r="14" spans="2:9" x14ac:dyDescent="0.25">
      <c r="B14" s="4" t="s">
        <v>631</v>
      </c>
      <c r="C14" s="132">
        <v>1.8599999999999999</v>
      </c>
    </row>
    <row r="15" spans="2:9" x14ac:dyDescent="0.25">
      <c r="B15" s="31" t="s">
        <v>51</v>
      </c>
      <c r="C15" s="132">
        <v>0.95</v>
      </c>
    </row>
    <row r="16" spans="2:9" ht="33.75" customHeight="1" x14ac:dyDescent="0.25">
      <c r="B16" s="31" t="s">
        <v>54</v>
      </c>
      <c r="C16" s="132">
        <v>0.91</v>
      </c>
    </row>
    <row r="17" spans="2:3" ht="34.5" customHeight="1" x14ac:dyDescent="0.25">
      <c r="B17" s="4" t="s">
        <v>633</v>
      </c>
      <c r="C17" s="132">
        <v>1.77</v>
      </c>
    </row>
    <row r="18" spans="2:3" x14ac:dyDescent="0.25">
      <c r="B18" s="31" t="s">
        <v>53</v>
      </c>
      <c r="C18" s="132">
        <v>0.89</v>
      </c>
    </row>
    <row r="19" spans="2:3" x14ac:dyDescent="0.25">
      <c r="B19" s="31" t="s">
        <v>0</v>
      </c>
      <c r="C19" s="132">
        <v>0.88</v>
      </c>
    </row>
    <row r="20" spans="2:3" x14ac:dyDescent="0.25">
      <c r="B20" s="4" t="s">
        <v>632</v>
      </c>
      <c r="C20" s="132">
        <v>0.74</v>
      </c>
    </row>
    <row r="21" spans="2:3" x14ac:dyDescent="0.25">
      <c r="B21" s="31" t="s">
        <v>605</v>
      </c>
      <c r="C21" s="132">
        <v>0.74</v>
      </c>
    </row>
    <row r="22" spans="2:3" x14ac:dyDescent="0.25">
      <c r="B22" s="4" t="s">
        <v>41</v>
      </c>
      <c r="C22" s="132">
        <v>4.37</v>
      </c>
    </row>
    <row r="31" spans="2:3" x14ac:dyDescent="0.25">
      <c r="C31" s="111"/>
    </row>
    <row r="32" spans="2:3" x14ac:dyDescent="0.25">
      <c r="C32" s="11"/>
    </row>
    <row r="33" spans="3:7" x14ac:dyDescent="0.25">
      <c r="C33" s="11"/>
      <c r="G33" t="s">
        <v>587</v>
      </c>
    </row>
    <row r="34" spans="3:7" x14ac:dyDescent="0.25">
      <c r="C34" s="11"/>
    </row>
    <row r="35" spans="3:7" x14ac:dyDescent="0.25">
      <c r="C35" s="11"/>
    </row>
    <row r="36" spans="3:7" x14ac:dyDescent="0.25">
      <c r="C36" s="11"/>
    </row>
    <row r="37" spans="3:7" x14ac:dyDescent="0.25">
      <c r="C37" s="11"/>
    </row>
    <row r="38" spans="3:7" x14ac:dyDescent="0.25">
      <c r="C38" s="11"/>
    </row>
    <row r="39" spans="3:7" x14ac:dyDescent="0.25">
      <c r="C39" s="11"/>
    </row>
    <row r="40" spans="3:7" x14ac:dyDescent="0.25">
      <c r="C40" s="11"/>
    </row>
    <row r="41" spans="3:7" x14ac:dyDescent="0.25">
      <c r="C41" s="11"/>
    </row>
  </sheetData>
  <mergeCells count="1">
    <mergeCell ref="B2:I3"/>
  </mergeCells>
  <conditionalFormatting sqref="C32:C41">
    <cfRule type="colorScale" priority="8">
      <colorScale>
        <cfvo type="min"/>
        <cfvo type="percentile" val="50"/>
        <cfvo type="max"/>
        <color rgb="FF63BE7B"/>
        <color rgb="FFFCFCFF"/>
        <color rgb="FFF8696B"/>
      </colorScale>
    </cfRule>
  </conditionalFormatting>
  <conditionalFormatting sqref="D4:D9">
    <cfRule type="colorScale" priority="9">
      <colorScale>
        <cfvo type="min"/>
        <cfvo type="percentile" val="50"/>
        <cfvo type="max"/>
        <color rgb="FFF8696B"/>
        <color rgb="FFFFEB84"/>
        <color rgb="FF63BE7B"/>
      </colorScale>
    </cfRule>
    <cfRule type="dataBar" priority="10">
      <dataBar>
        <cfvo type="min"/>
        <cfvo type="max"/>
        <color rgb="FF638EC6"/>
      </dataBar>
      <extLst>
        <ext xmlns:x14="http://schemas.microsoft.com/office/spreadsheetml/2009/9/main" uri="{B025F937-C7B1-47D3-B67F-A62EFF666E3E}">
          <x14:id>{86F1125C-6DFA-4918-AF2C-9AA5BD4C2112}</x14:id>
        </ext>
      </extLst>
    </cfRule>
  </conditionalFormatting>
  <conditionalFormatting sqref="D5:D9">
    <cfRule type="containsText" dxfId="339" priority="5" operator="containsText" text="Medium">
      <formula>NOT(ISERROR(SEARCH("Medium",D5)))</formula>
    </cfRule>
    <cfRule type="containsText" dxfId="338" priority="6" operator="containsText" text="High">
      <formula>NOT(ISERROR(SEARCH("High",D5)))</formula>
    </cfRule>
    <cfRule type="containsText" dxfId="337" priority="7" operator="containsText" text="LO">
      <formula>NOT(ISERROR(SEARCH("LO",D5)))</formula>
    </cfRule>
  </conditionalFormatting>
  <conditionalFormatting sqref="E5:E9">
    <cfRule type="iconSet" priority="2">
      <iconSet iconSet="4Arrows">
        <cfvo type="percent" val="0"/>
        <cfvo type="percent" val="25"/>
        <cfvo type="percent" val="50"/>
        <cfvo type="percent" val="75"/>
      </iconSet>
    </cfRule>
  </conditionalFormatting>
  <conditionalFormatting sqref="E5:F9">
    <cfRule type="containsText" dxfId="336" priority="3" operator="containsText" text="Medium cost (63 SAR/hour)$K$17">
      <formula>NOT(ISERROR(SEARCH("Medium cost (63 SAR/hour)$K$17",E5)))</formula>
    </cfRule>
    <cfRule type="colorScale" priority="4">
      <colorScale>
        <cfvo type="min"/>
        <cfvo type="max"/>
        <color rgb="FF63BE7B"/>
        <color rgb="FFFCFCFF"/>
      </colorScale>
    </cfRule>
  </conditionalFormatting>
  <conditionalFormatting sqref="I5:I9">
    <cfRule type="colorScale" priority="1">
      <colorScale>
        <cfvo type="min"/>
        <cfvo type="max"/>
        <color rgb="FF63BE7B"/>
        <color rgb="FFFCFCFF"/>
      </colorScale>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6F1125C-6DFA-4918-AF2C-9AA5BD4C2112}">
            <x14:dataBar minLength="0" maxLength="100" border="1" negativeBarBorderColorSameAsPositive="0">
              <x14:cfvo type="autoMin"/>
              <x14:cfvo type="autoMax"/>
              <x14:borderColor rgb="FF638EC6"/>
              <x14:negativeFillColor rgb="FFFF0000"/>
              <x14:negativeBorderColor rgb="FFFF0000"/>
              <x14:axisColor rgb="FF000000"/>
            </x14:dataBar>
          </x14:cfRule>
          <xm:sqref>D4:D9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7CD5-46C5-401E-B0FF-24019CD1060D}">
  <dimension ref="J5:AG14"/>
  <sheetViews>
    <sheetView topLeftCell="C4" zoomScale="55" zoomScaleNormal="55" workbookViewId="0">
      <selection activeCell="F65" sqref="F65"/>
    </sheetView>
  </sheetViews>
  <sheetFormatPr defaultRowHeight="15" x14ac:dyDescent="0.25"/>
  <cols>
    <col min="1" max="16384" width="9.140625" style="105"/>
  </cols>
  <sheetData>
    <row r="5" spans="10:33" ht="15.75" thickBot="1" x14ac:dyDescent="0.3"/>
    <row r="6" spans="10:33" x14ac:dyDescent="0.25">
      <c r="P6" s="168" t="s">
        <v>635</v>
      </c>
      <c r="Q6" s="169"/>
      <c r="R6" s="169"/>
      <c r="S6" s="169"/>
      <c r="T6" s="169"/>
      <c r="U6" s="169"/>
      <c r="V6" s="169"/>
      <c r="W6" s="169"/>
      <c r="X6" s="169"/>
      <c r="Y6" s="169"/>
      <c r="Z6" s="169"/>
      <c r="AA6" s="169"/>
      <c r="AB6" s="169"/>
      <c r="AC6" s="169"/>
      <c r="AD6" s="169"/>
      <c r="AE6" s="169"/>
      <c r="AF6" s="169"/>
      <c r="AG6" s="170"/>
    </row>
    <row r="7" spans="10:33" x14ac:dyDescent="0.25">
      <c r="P7" s="171"/>
      <c r="Q7" s="172"/>
      <c r="R7" s="172"/>
      <c r="S7" s="172"/>
      <c r="T7" s="172"/>
      <c r="U7" s="172"/>
      <c r="V7" s="172"/>
      <c r="W7" s="172"/>
      <c r="X7" s="172"/>
      <c r="Y7" s="172"/>
      <c r="Z7" s="172"/>
      <c r="AA7" s="172"/>
      <c r="AB7" s="172"/>
      <c r="AC7" s="172"/>
      <c r="AD7" s="172"/>
      <c r="AE7" s="172"/>
      <c r="AF7" s="172"/>
      <c r="AG7" s="173"/>
    </row>
    <row r="8" spans="10:33" x14ac:dyDescent="0.25">
      <c r="P8" s="171"/>
      <c r="Q8" s="172"/>
      <c r="R8" s="172"/>
      <c r="S8" s="172"/>
      <c r="T8" s="172"/>
      <c r="U8" s="172"/>
      <c r="V8" s="172"/>
      <c r="W8" s="172"/>
      <c r="X8" s="172"/>
      <c r="Y8" s="172"/>
      <c r="Z8" s="172"/>
      <c r="AA8" s="172"/>
      <c r="AB8" s="172"/>
      <c r="AC8" s="172"/>
      <c r="AD8" s="172"/>
      <c r="AE8" s="172"/>
      <c r="AF8" s="172"/>
      <c r="AG8" s="173"/>
    </row>
    <row r="9" spans="10:33" ht="15.75" thickBot="1" x14ac:dyDescent="0.3">
      <c r="P9" s="174"/>
      <c r="Q9" s="175"/>
      <c r="R9" s="175"/>
      <c r="S9" s="175"/>
      <c r="T9" s="175"/>
      <c r="U9" s="175"/>
      <c r="V9" s="175"/>
      <c r="W9" s="175"/>
      <c r="X9" s="175"/>
      <c r="Y9" s="175"/>
      <c r="Z9" s="175"/>
      <c r="AA9" s="175"/>
      <c r="AB9" s="175"/>
      <c r="AC9" s="175"/>
      <c r="AD9" s="175"/>
      <c r="AE9" s="175"/>
      <c r="AF9" s="175"/>
      <c r="AG9" s="176"/>
    </row>
    <row r="14" spans="10:33" x14ac:dyDescent="0.25">
      <c r="J14" s="105" t="s">
        <v>603</v>
      </c>
    </row>
  </sheetData>
  <mergeCells count="1">
    <mergeCell ref="P6:AG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8187D16682C24795E4D0AD5A2A9C5E" ma:contentTypeVersion="11" ma:contentTypeDescription="Create a new document." ma:contentTypeScope="" ma:versionID="f21a4aede8df5063fa42259ee477719e">
  <xsd:schema xmlns:xsd="http://www.w3.org/2001/XMLSchema" xmlns:xs="http://www.w3.org/2001/XMLSchema" xmlns:p="http://schemas.microsoft.com/office/2006/metadata/properties" xmlns:ns3="de3a8996-7424-4547-972c-b7fbbdd005c6" targetNamespace="http://schemas.microsoft.com/office/2006/metadata/properties" ma:root="true" ma:fieldsID="52991312f71c7db81165595b4463301e" ns3:_="">
    <xsd:import namespace="de3a8996-7424-4547-972c-b7fbbdd005c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SearchProperties" minOccurs="0"/>
                <xsd:element ref="ns3:MediaServiceSystemTags"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3a8996-7424-4547-972c-b7fbbdd005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e3a8996-7424-4547-972c-b7fbbdd005c6" xsi:nil="true"/>
  </documentManagement>
</p:properties>
</file>

<file path=customXml/itemProps1.xml><?xml version="1.0" encoding="utf-8"?>
<ds:datastoreItem xmlns:ds="http://schemas.openxmlformats.org/officeDocument/2006/customXml" ds:itemID="{E1531590-9BB0-4F0B-B423-57C5086C1691}">
  <ds:schemaRefs>
    <ds:schemaRef ds:uri="http://schemas.microsoft.com/sharepoint/v3/contenttype/forms"/>
  </ds:schemaRefs>
</ds:datastoreItem>
</file>

<file path=customXml/itemProps2.xml><?xml version="1.0" encoding="utf-8"?>
<ds:datastoreItem xmlns:ds="http://schemas.openxmlformats.org/officeDocument/2006/customXml" ds:itemID="{213BFAB1-E4A0-4655-AD21-4E458207DB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3a8996-7424-4547-972c-b7fbbdd0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5F9E85-8467-491D-8F80-C23D8E207F2A}">
  <ds:schemaRefs>
    <ds:schemaRef ds:uri="http://schemas.microsoft.com/office/2006/documentManagement/types"/>
    <ds:schemaRef ds:uri="http://purl.org/dc/terms/"/>
    <ds:schemaRef ds:uri="http://schemas.microsoft.com/office/infopath/2007/PartnerControls"/>
    <ds:schemaRef ds:uri="de3a8996-7424-4547-972c-b7fbbdd005c6"/>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set</vt:lpstr>
      <vt:lpstr>Q1</vt:lpstr>
      <vt:lpstr>Q2</vt:lpstr>
      <vt:lpstr>Table sheet for question 3</vt:lpstr>
      <vt:lpstr>3A</vt:lpstr>
      <vt:lpstr>Q3</vt:lpstr>
      <vt:lpstr>Q4</vt:lpstr>
      <vt:lpstr>DB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ريم محمد الزهراني</dc:creator>
  <cp:keywords/>
  <dc:description/>
  <cp:lastModifiedBy>ريم محمد الزهراني</cp:lastModifiedBy>
  <cp:revision/>
  <dcterms:created xsi:type="dcterms:W3CDTF">2025-10-04T14:24:54Z</dcterms:created>
  <dcterms:modified xsi:type="dcterms:W3CDTF">2026-02-24T19:53:08Z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0x010100FC8187D16682C24795E4D0AD5A2A9C5E</vt:lpwstr>
  </property>
  <property fmtid="{D5CDD505-2E9C-101B-9397-08002B2CF9AE}" pid="3" name="MSIP_Label_b196578f-6ae1-40cd-93dd-1a3b7a6ede66_Enabled">
    <vt:lpwstr>true</vt:lpwstr>
  </property>
  <property fmtid="{D5CDD505-2E9C-101B-9397-08002B2CF9AE}" pid="4" name="MSIP_Label_b196578f-6ae1-40cd-93dd-1a3b7a6ede66_SetDate">
    <vt:lpwstr>2026-02-24T19:16:53Z</vt:lpwstr>
  </property>
  <property fmtid="{D5CDD505-2E9C-101B-9397-08002B2CF9AE}" pid="5" name="MSIP_Label_b196578f-6ae1-40cd-93dd-1a3b7a6ede66_Method">
    <vt:lpwstr>Standard</vt:lpwstr>
  </property>
  <property fmtid="{D5CDD505-2E9C-101B-9397-08002B2CF9AE}" pid="6" name="MSIP_Label_b196578f-6ae1-40cd-93dd-1a3b7a6ede66_Name">
    <vt:lpwstr>Public - عام</vt:lpwstr>
  </property>
  <property fmtid="{D5CDD505-2E9C-101B-9397-08002B2CF9AE}" pid="7" name="MSIP_Label_b196578f-6ae1-40cd-93dd-1a3b7a6ede66_SiteId">
    <vt:lpwstr>2c86bbfc-8d04-41ff-a83a-942f075e0f60</vt:lpwstr>
  </property>
  <property fmtid="{D5CDD505-2E9C-101B-9397-08002B2CF9AE}" pid="8" name="MSIP_Label_b196578f-6ae1-40cd-93dd-1a3b7a6ede66_ActionId">
    <vt:lpwstr>f1f2f0c3-6370-4184-a5aa-79df812e7e97</vt:lpwstr>
  </property>
  <property fmtid="{D5CDD505-2E9C-101B-9397-08002B2CF9AE}" pid="9" name="MSIP_Label_b196578f-6ae1-40cd-93dd-1a3b7a6ede66_ContentBits">
    <vt:lpwstr>0</vt:lpwstr>
  </property>
  <property fmtid="{D5CDD505-2E9C-101B-9397-08002B2CF9AE}" pid="10" name="MSIP_Label_b196578f-6ae1-40cd-93dd-1a3b7a6ede66_Tag">
    <vt:lpwstr>10, 3, 0, 1</vt:lpwstr>
  </property>
</Properties>
</file>